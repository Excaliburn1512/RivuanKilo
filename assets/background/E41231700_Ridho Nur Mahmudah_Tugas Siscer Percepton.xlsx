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l 1" sheetId="1" r:id="rId4"/>
    <sheet state="visible" name="Soal 2" sheetId="2" r:id="rId5"/>
  </sheets>
  <definedNames/>
  <calcPr/>
</workbook>
</file>

<file path=xl/sharedStrings.xml><?xml version="1.0" encoding="utf-8"?>
<sst xmlns="http://schemas.openxmlformats.org/spreadsheetml/2006/main" count="751" uniqueCount="80">
  <si>
    <t>X1</t>
  </si>
  <si>
    <t>X2</t>
  </si>
  <si>
    <t>t</t>
  </si>
  <si>
    <t>α</t>
  </si>
  <si>
    <t>θ</t>
  </si>
  <si>
    <t>Masukan</t>
  </si>
  <si>
    <t>Target</t>
  </si>
  <si>
    <t>Output</t>
  </si>
  <si>
    <t>Perubahan Bobot</t>
  </si>
  <si>
    <t>Bobot Baru</t>
  </si>
  <si>
    <t xml:space="preserve">ΔW = α.X1.t </t>
  </si>
  <si>
    <t>Δb = α.t</t>
  </si>
  <si>
    <t>Wbaru = Wlama +  ΔW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</si>
  <si>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</si>
  <si>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Net</t>
  </si>
  <si>
    <t>a=f(n)</t>
  </si>
  <si>
    <t>ΔW1</t>
  </si>
  <si>
    <t>ΔW2</t>
  </si>
  <si>
    <t>Δb</t>
  </si>
  <si>
    <t>W1</t>
  </si>
  <si>
    <t>W2</t>
  </si>
  <si>
    <t>b</t>
  </si>
  <si>
    <t xml:space="preserve">epoch ke- 1 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</si>
  <si>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</si>
  <si>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ke- 2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</si>
  <si>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</si>
  <si>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 -3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</si>
  <si>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</si>
  <si>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ke- 4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</si>
  <si>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</si>
  <si>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ke- 5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</si>
  <si>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</si>
  <si>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ke- 6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</si>
  <si>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</si>
  <si>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ke- 7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</si>
  <si>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</si>
  <si>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ke- 8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</si>
  <si>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</si>
  <si>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ke- 9</t>
  </si>
  <si>
    <t>X3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</si>
  <si>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</si>
  <si>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ΔW3</t>
  </si>
  <si>
    <t>W3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</si>
  <si>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</si>
  <si>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</si>
  <si>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ke- 3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</si>
  <si>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</si>
  <si>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</si>
  <si>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</si>
  <si>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</si>
  <si>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</si>
  <si>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</si>
  <si>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</si>
  <si>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ke- 10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</si>
  <si>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</si>
  <si>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ke- 11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</si>
  <si>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</si>
  <si>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ke- 12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</si>
  <si>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</si>
  <si>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ke- 13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</si>
  <si>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</si>
  <si>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ke- 14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</si>
  <si>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</si>
  <si>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ke- 15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</si>
  <si>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</si>
  <si>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 -16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</si>
  <si>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</si>
  <si>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ke- 17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</si>
  <si>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</si>
  <si>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ke- 18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</si>
  <si>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</si>
  <si>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ke- 19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</si>
  <si>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</si>
  <si>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ke- 20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</si>
  <si>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</si>
  <si>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ke- 21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</si>
  <si>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</si>
  <si>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ke- 22</t>
  </si>
  <si>
    <r>
      <rPr>
        <rFont val="Arial"/>
        <b/>
        <color theme="1"/>
        <sz val="12.0"/>
      </rPr>
      <t>b</t>
    </r>
    <r>
      <rPr>
        <rFont val="Arial"/>
        <b/>
        <color theme="1"/>
      </rPr>
      <t>baru = blama +  Δb</t>
    </r>
  </si>
  <si>
    <t>epoch ke- 23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</si>
</sst>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474747"/>
      <name val="Arial"/>
    </font>
    <font>
      <i/>
      <color theme="1"/>
      <name val="Arial"/>
      <scheme val="minor"/>
    </font>
    <font>
      <b/>
      <sz val="11.0"/>
      <color rgb="FF202122"/>
      <name val="Arial"/>
    </font>
    <font/>
    <font>
      <b/>
      <sz val="12.0"/>
      <color rgb="FF202122"/>
      <name val="Arial"/>
    </font>
    <font>
      <sz val="12.0"/>
      <color rgb="FF202122"/>
      <name val="Arial"/>
    </font>
    <font>
      <b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4" fontId="1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6" fillId="4" fontId="7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vertical="center"/>
    </xf>
    <xf borderId="1" fillId="5" fontId="8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2" fillId="6" fontId="1" numFmtId="0" xfId="0" applyAlignment="1" applyBorder="1" applyFill="1" applyFont="1">
      <alignment horizontal="center" readingOrder="0" shrinkToFit="0" vertical="center" wrapText="1"/>
    </xf>
    <xf borderId="5" fillId="6" fontId="1" numFmtId="0" xfId="0" applyAlignment="1" applyBorder="1" applyFont="1">
      <alignment horizontal="center" readingOrder="0" shrinkToFit="0" vertical="center" wrapText="1"/>
    </xf>
    <xf borderId="5" fillId="6" fontId="1" numFmtId="0" xfId="0" applyAlignment="1" applyBorder="1" applyFont="1">
      <alignment horizontal="center" shrinkToFit="0" vertical="center" wrapText="1"/>
    </xf>
    <xf borderId="6" fillId="6" fontId="1" numFmtId="0" xfId="0" applyAlignment="1" applyBorder="1" applyFont="1">
      <alignment horizontal="center" readingOrder="0" shrinkToFit="0" vertical="center" wrapText="1"/>
    </xf>
    <xf borderId="6" fillId="6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readingOrder="0" vertical="center"/>
    </xf>
    <xf borderId="1" fillId="7" fontId="8" numFmtId="0" xfId="0" applyAlignment="1" applyBorder="1" applyFont="1">
      <alignment readingOrder="0"/>
    </xf>
    <xf borderId="1" fillId="8" fontId="1" numFmtId="0" xfId="0" applyAlignment="1" applyBorder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2" fillId="10" fontId="1" numFmtId="0" xfId="0" applyAlignment="1" applyBorder="1" applyFill="1" applyFont="1">
      <alignment horizontal="center" readingOrder="0" shrinkToFit="0" vertical="center" wrapText="1"/>
    </xf>
    <xf borderId="5" fillId="10" fontId="1" numFmtId="0" xfId="0" applyAlignment="1" applyBorder="1" applyFont="1">
      <alignment horizontal="center" readingOrder="0" shrinkToFit="0" vertical="center" wrapText="1"/>
    </xf>
    <xf borderId="5" fillId="10" fontId="1" numFmtId="0" xfId="0" applyAlignment="1" applyBorder="1" applyFont="1">
      <alignment horizontal="center" shrinkToFit="0" vertical="center" wrapText="1"/>
    </xf>
    <xf borderId="6" fillId="10" fontId="1" numFmtId="0" xfId="0" applyAlignment="1" applyBorder="1" applyFont="1">
      <alignment horizontal="center" readingOrder="0" shrinkToFit="0" vertical="center" wrapText="1"/>
    </xf>
    <xf borderId="6" fillId="10" fontId="7" numFmtId="0" xfId="0" applyAlignment="1" applyBorder="1" applyFont="1">
      <alignment horizontal="center" readingOrder="0" shrinkToFit="0" vertical="center" wrapText="1"/>
    </xf>
    <xf borderId="1" fillId="10" fontId="7" numFmtId="0" xfId="0" applyAlignment="1" applyBorder="1" applyFont="1">
      <alignment horizontal="center" readingOrder="0" shrinkToFit="0" vertical="center" wrapText="1"/>
    </xf>
    <xf borderId="8" fillId="10" fontId="1" numFmtId="0" xfId="0" applyAlignment="1" applyBorder="1" applyFont="1">
      <alignment horizontal="center" readingOrder="0" shrinkToFit="0" vertical="center" wrapText="1"/>
    </xf>
    <xf borderId="1" fillId="10" fontId="2" numFmtId="0" xfId="0" applyAlignment="1" applyBorder="1" applyFont="1">
      <alignment horizontal="center" readingOrder="0" vertical="center"/>
    </xf>
    <xf borderId="1" fillId="10" fontId="8" numFmtId="0" xfId="0" applyAlignment="1" applyBorder="1" applyFont="1">
      <alignment readingOrder="0"/>
    </xf>
    <xf borderId="1" fillId="1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2" fillId="10" fontId="9" numFmtId="0" xfId="0" applyAlignment="1" applyBorder="1" applyFont="1">
      <alignment horizontal="center" shrinkToFit="0" wrapText="1"/>
    </xf>
    <xf borderId="5" fillId="10" fontId="9" numFmtId="0" xfId="0" applyAlignment="1" applyBorder="1" applyFont="1">
      <alignment horizontal="center" shrinkToFit="0" wrapText="1"/>
    </xf>
    <xf borderId="5" fillId="10" fontId="10" numFmtId="0" xfId="0" applyBorder="1" applyFont="1"/>
    <xf borderId="6" fillId="10" fontId="9" numFmtId="0" xfId="0" applyAlignment="1" applyBorder="1" applyFont="1">
      <alignment horizontal="center" shrinkToFit="0" wrapText="1"/>
    </xf>
    <xf borderId="6" fillId="10" fontId="7" numFmtId="0" xfId="0" applyAlignment="1" applyBorder="1" applyFont="1">
      <alignment horizontal="center" shrinkToFit="0" wrapText="1"/>
    </xf>
    <xf borderId="1" fillId="10" fontId="7" numFmtId="0" xfId="0" applyAlignment="1" applyBorder="1" applyFont="1">
      <alignment horizontal="center" shrinkToFit="0" wrapText="1"/>
    </xf>
    <xf borderId="1" fillId="10" fontId="10" numFmtId="0" xfId="0" applyAlignment="1" applyBorder="1" applyFont="1">
      <alignment horizontal="center"/>
    </xf>
    <xf borderId="1" fillId="10" fontId="8" numFmtId="0" xfId="0" applyAlignment="1" applyBorder="1" applyFont="1">
      <alignment vertical="bottom"/>
    </xf>
    <xf borderId="6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/>
    </xf>
    <xf borderId="2" fillId="11" fontId="9" numFmtId="0" xfId="0" applyAlignment="1" applyBorder="1" applyFill="1" applyFont="1">
      <alignment horizontal="center" shrinkToFit="0" wrapText="1"/>
    </xf>
    <xf borderId="5" fillId="11" fontId="9" numFmtId="0" xfId="0" applyAlignment="1" applyBorder="1" applyFont="1">
      <alignment horizontal="center" shrinkToFit="0" wrapText="1"/>
    </xf>
    <xf borderId="5" fillId="11" fontId="10" numFmtId="0" xfId="0" applyBorder="1" applyFont="1"/>
    <xf borderId="6" fillId="11" fontId="9" numFmtId="0" xfId="0" applyAlignment="1" applyBorder="1" applyFont="1">
      <alignment horizontal="center" shrinkToFit="0" wrapText="1"/>
    </xf>
    <xf borderId="6" fillId="11" fontId="7" numFmtId="0" xfId="0" applyAlignment="1" applyBorder="1" applyFont="1">
      <alignment horizontal="center" shrinkToFit="0" wrapText="1"/>
    </xf>
    <xf borderId="1" fillId="11" fontId="7" numFmtId="0" xfId="0" applyAlignment="1" applyBorder="1" applyFont="1">
      <alignment horizontal="center" shrinkToFit="0" wrapText="1"/>
    </xf>
    <xf borderId="8" fillId="11" fontId="1" numFmtId="0" xfId="0" applyAlignment="1" applyBorder="1" applyFont="1">
      <alignment horizontal="center" readingOrder="0" shrinkToFit="0" vertical="center" wrapText="1"/>
    </xf>
    <xf borderId="1" fillId="11" fontId="10" numFmtId="0" xfId="0" applyAlignment="1" applyBorder="1" applyFont="1">
      <alignment horizontal="center"/>
    </xf>
    <xf borderId="1" fillId="11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0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3" t="s">
        <v>1</v>
      </c>
      <c r="C2" s="3" t="s">
        <v>2</v>
      </c>
      <c r="D2" s="2"/>
      <c r="E2" s="4" t="s">
        <v>3</v>
      </c>
      <c r="F2" s="5">
        <v>1.0</v>
      </c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5">
        <v>0.0</v>
      </c>
      <c r="B3" s="5">
        <v>0.0</v>
      </c>
      <c r="C3" s="5">
        <v>-1.0</v>
      </c>
      <c r="D3" s="2"/>
      <c r="E3" s="7" t="s">
        <v>4</v>
      </c>
      <c r="F3" s="5">
        <v>0.2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>
        <v>0.0</v>
      </c>
      <c r="B4" s="5">
        <v>1.0</v>
      </c>
      <c r="C4" s="5">
        <v>-1.0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5">
        <v>1.0</v>
      </c>
      <c r="B5" s="5">
        <v>0.0</v>
      </c>
      <c r="C5" s="5">
        <v>-1.0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5">
        <v>1.0</v>
      </c>
      <c r="B6" s="5">
        <v>1.0</v>
      </c>
      <c r="C6" s="5">
        <v>1.0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8" t="s">
        <v>5</v>
      </c>
      <c r="B8" s="9"/>
      <c r="C8" s="10"/>
      <c r="D8" s="11" t="s">
        <v>6</v>
      </c>
      <c r="E8" s="12"/>
      <c r="F8" s="11" t="s">
        <v>7</v>
      </c>
      <c r="G8" s="13" t="s">
        <v>8</v>
      </c>
      <c r="H8" s="14"/>
      <c r="I8" s="15"/>
      <c r="J8" s="13" t="s">
        <v>9</v>
      </c>
      <c r="K8" s="14"/>
      <c r="L8" s="1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/>
      <c r="B9" s="17"/>
      <c r="C9" s="18"/>
      <c r="D9" s="19"/>
      <c r="E9" s="19"/>
      <c r="F9" s="19"/>
      <c r="G9" s="20" t="s">
        <v>10</v>
      </c>
      <c r="H9" s="15"/>
      <c r="I9" s="21" t="s">
        <v>11</v>
      </c>
      <c r="J9" s="13" t="s">
        <v>12</v>
      </c>
      <c r="K9" s="15"/>
      <c r="L9" s="22" t="s">
        <v>13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3" t="s">
        <v>0</v>
      </c>
      <c r="B10" s="23" t="s">
        <v>1</v>
      </c>
      <c r="C10" s="23">
        <v>1.0</v>
      </c>
      <c r="D10" s="23" t="s">
        <v>2</v>
      </c>
      <c r="E10" s="23" t="s">
        <v>14</v>
      </c>
      <c r="F10" s="23" t="s">
        <v>15</v>
      </c>
      <c r="G10" s="24" t="s">
        <v>16</v>
      </c>
      <c r="H10" s="24" t="s">
        <v>17</v>
      </c>
      <c r="I10" s="24" t="s">
        <v>18</v>
      </c>
      <c r="J10" s="23" t="s">
        <v>19</v>
      </c>
      <c r="K10" s="23" t="s">
        <v>20</v>
      </c>
      <c r="L10" s="23" t="s">
        <v>21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5" t="s">
        <v>22</v>
      </c>
      <c r="B11" s="14"/>
      <c r="C11" s="14"/>
      <c r="D11" s="14"/>
      <c r="E11" s="14"/>
      <c r="F11" s="14"/>
      <c r="G11" s="14"/>
      <c r="H11" s="14"/>
      <c r="I11" s="15"/>
      <c r="J11" s="5">
        <v>0.0</v>
      </c>
      <c r="K11" s="5">
        <v>0.0</v>
      </c>
      <c r="L11" s="5">
        <v>0.0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0.0</v>
      </c>
      <c r="B12" s="5">
        <v>0.0</v>
      </c>
      <c r="C12" s="5">
        <v>1.0</v>
      </c>
      <c r="D12" s="5">
        <v>-1.0</v>
      </c>
      <c r="E12" s="26">
        <f t="shared" ref="E12:E15" si="2">L11+(A12*J11)+(B12*K11)</f>
        <v>0</v>
      </c>
      <c r="F12" s="5">
        <f>IFS(E12 &gt; F3, 1,E12 &lt; -F3, -1, TRUE, 0)</f>
        <v>0</v>
      </c>
      <c r="G12" s="26">
        <f>F2*A12*D12</f>
        <v>0</v>
      </c>
      <c r="H12" s="26">
        <f>F2*B12*D12</f>
        <v>0</v>
      </c>
      <c r="I12" s="26">
        <f>F2*D12</f>
        <v>-1</v>
      </c>
      <c r="J12" s="26">
        <f t="shared" ref="J12:L12" si="1">J11+G12</f>
        <v>0</v>
      </c>
      <c r="K12" s="26">
        <f t="shared" si="1"/>
        <v>0</v>
      </c>
      <c r="L12" s="26">
        <f t="shared" si="1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0.0</v>
      </c>
      <c r="B13" s="5">
        <v>1.0</v>
      </c>
      <c r="C13" s="5">
        <v>1.0</v>
      </c>
      <c r="D13" s="5">
        <v>-1.0</v>
      </c>
      <c r="E13" s="26">
        <f t="shared" si="2"/>
        <v>-1</v>
      </c>
      <c r="F13" s="5">
        <f>IFS(E13 &gt; F3, 1,E13 &lt; -F3, -1, TRUE, 0)</f>
        <v>-1</v>
      </c>
      <c r="G13" s="5">
        <v>0.0</v>
      </c>
      <c r="H13" s="5">
        <v>0.0</v>
      </c>
      <c r="I13" s="5">
        <v>0.0</v>
      </c>
      <c r="J13" s="26">
        <f t="shared" ref="J13:L13" si="3">J12+G13</f>
        <v>0</v>
      </c>
      <c r="K13" s="26">
        <f t="shared" si="3"/>
        <v>0</v>
      </c>
      <c r="L13" s="26">
        <f t="shared" si="3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1.0</v>
      </c>
      <c r="B14" s="5">
        <v>0.0</v>
      </c>
      <c r="C14" s="5">
        <v>1.0</v>
      </c>
      <c r="D14" s="5">
        <v>-1.0</v>
      </c>
      <c r="E14" s="26">
        <f t="shared" si="2"/>
        <v>-1</v>
      </c>
      <c r="F14" s="5">
        <f>IFS(E14 &gt; F3, 1,E14 &lt; -F3, -1, TRUE, 0)</f>
        <v>-1</v>
      </c>
      <c r="G14" s="5">
        <v>0.0</v>
      </c>
      <c r="H14" s="5">
        <v>0.0</v>
      </c>
      <c r="I14" s="5">
        <v>0.0</v>
      </c>
      <c r="J14" s="26">
        <f t="shared" ref="J14:L14" si="4">J13+G14</f>
        <v>0</v>
      </c>
      <c r="K14" s="26">
        <f t="shared" si="4"/>
        <v>0</v>
      </c>
      <c r="L14" s="26">
        <f t="shared" si="4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1.0</v>
      </c>
      <c r="B15" s="5">
        <v>1.0</v>
      </c>
      <c r="C15" s="5">
        <v>1.0</v>
      </c>
      <c r="D15" s="5">
        <v>1.0</v>
      </c>
      <c r="E15" s="26">
        <f t="shared" si="2"/>
        <v>-1</v>
      </c>
      <c r="F15" s="5">
        <f>IFS(E15 &gt; F3, 1,E15 &lt; -F3, -1, TRUE, 0)</f>
        <v>-1</v>
      </c>
      <c r="G15" s="5">
        <f>F2*A15*D15</f>
        <v>1</v>
      </c>
      <c r="H15" s="5">
        <f>F2*B15*D15</f>
        <v>1</v>
      </c>
      <c r="I15" s="5">
        <f>F2*D15</f>
        <v>1</v>
      </c>
      <c r="J15" s="26">
        <f t="shared" ref="J15:L15" si="5">J14+G15</f>
        <v>1</v>
      </c>
      <c r="K15" s="26">
        <f t="shared" si="5"/>
        <v>1</v>
      </c>
      <c r="L15" s="26">
        <f t="shared" si="5"/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>IFS(E12 &gt; F3, 1,E12 &lt;= -F3, -1, TRUE, 0)</f>
        <v>0</v>
      </c>
      <c r="B18" s="9"/>
      <c r="C18" s="10"/>
      <c r="D18" s="11" t="s">
        <v>6</v>
      </c>
      <c r="E18" s="12"/>
      <c r="F18" s="11" t="s">
        <v>7</v>
      </c>
      <c r="G18" s="13" t="s">
        <v>8</v>
      </c>
      <c r="H18" s="14"/>
      <c r="I18" s="15"/>
      <c r="J18" s="13" t="s">
        <v>9</v>
      </c>
      <c r="K18" s="14"/>
      <c r="L18" s="1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/>
      <c r="B19" s="17"/>
      <c r="C19" s="18"/>
      <c r="D19" s="19"/>
      <c r="E19" s="19"/>
      <c r="F19" s="19"/>
      <c r="G19" s="20" t="s">
        <v>10</v>
      </c>
      <c r="H19" s="15"/>
      <c r="I19" s="21" t="s">
        <v>11</v>
      </c>
      <c r="J19" s="13" t="s">
        <v>12</v>
      </c>
      <c r="K19" s="15"/>
      <c r="L19" s="22" t="s">
        <v>23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3" t="s">
        <v>0</v>
      </c>
      <c r="B20" s="23" t="s">
        <v>1</v>
      </c>
      <c r="C20" s="23">
        <v>1.0</v>
      </c>
      <c r="D20" s="23" t="s">
        <v>2</v>
      </c>
      <c r="E20" s="23" t="s">
        <v>14</v>
      </c>
      <c r="F20" s="23" t="s">
        <v>15</v>
      </c>
      <c r="G20" s="24" t="s">
        <v>16</v>
      </c>
      <c r="H20" s="24" t="s">
        <v>17</v>
      </c>
      <c r="I20" s="24" t="s">
        <v>18</v>
      </c>
      <c r="J20" s="23" t="s">
        <v>19</v>
      </c>
      <c r="K20" s="23" t="s">
        <v>20</v>
      </c>
      <c r="L20" s="23" t="s">
        <v>21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5" t="s">
        <v>24</v>
      </c>
      <c r="B21" s="14"/>
      <c r="C21" s="14"/>
      <c r="D21" s="14"/>
      <c r="E21" s="14"/>
      <c r="F21" s="14"/>
      <c r="G21" s="14"/>
      <c r="H21" s="14"/>
      <c r="I21" s="15"/>
      <c r="J21" s="5">
        <f t="shared" ref="J21:L21" si="6">J15</f>
        <v>1</v>
      </c>
      <c r="K21" s="5">
        <f t="shared" si="6"/>
        <v>1</v>
      </c>
      <c r="L21" s="5">
        <f t="shared" si="6"/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0.0</v>
      </c>
      <c r="B22" s="5">
        <v>0.0</v>
      </c>
      <c r="C22" s="5">
        <v>1.0</v>
      </c>
      <c r="D22" s="5">
        <v>-1.0</v>
      </c>
      <c r="E22" s="26">
        <f t="shared" ref="E22:E25" si="8">L21+(A22*J21)+(B22*K21)</f>
        <v>0</v>
      </c>
      <c r="F22" s="5">
        <f>IFS(E22 &gt; F3, 1,E22 &lt; -F3, -1, TRUE, 0)</f>
        <v>0</v>
      </c>
      <c r="G22" s="26">
        <f>F2*A22*D22</f>
        <v>0</v>
      </c>
      <c r="H22" s="26">
        <f>F2*B22*D22</f>
        <v>0</v>
      </c>
      <c r="I22" s="26">
        <f>F2*D22</f>
        <v>-1</v>
      </c>
      <c r="J22" s="26">
        <f t="shared" ref="J22:L22" si="7">J21+G22</f>
        <v>1</v>
      </c>
      <c r="K22" s="26">
        <f t="shared" si="7"/>
        <v>1</v>
      </c>
      <c r="L22" s="26">
        <f t="shared" si="7"/>
        <v>-1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0.0</v>
      </c>
      <c r="B23" s="5">
        <v>1.0</v>
      </c>
      <c r="C23" s="5">
        <v>1.0</v>
      </c>
      <c r="D23" s="5">
        <v>-1.0</v>
      </c>
      <c r="E23" s="26">
        <f t="shared" si="8"/>
        <v>0</v>
      </c>
      <c r="F23" s="5">
        <f>IFS(E23 &gt; F3, 1,E23 &lt; -F3, -1, TRUE, 0)</f>
        <v>0</v>
      </c>
      <c r="G23" s="26">
        <f>F2*A23*D23</f>
        <v>0</v>
      </c>
      <c r="H23" s="26">
        <f>F2*B23*D23</f>
        <v>-1</v>
      </c>
      <c r="I23" s="26">
        <f>F2*D23</f>
        <v>-1</v>
      </c>
      <c r="J23" s="26">
        <f t="shared" ref="J23:L23" si="9">J22+G23</f>
        <v>1</v>
      </c>
      <c r="K23" s="26">
        <f t="shared" si="9"/>
        <v>0</v>
      </c>
      <c r="L23" s="26">
        <f t="shared" si="9"/>
        <v>-2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>
        <v>1.0</v>
      </c>
      <c r="B24" s="5">
        <v>0.0</v>
      </c>
      <c r="C24" s="5">
        <v>1.0</v>
      </c>
      <c r="D24" s="5">
        <v>-1.0</v>
      </c>
      <c r="E24" s="26">
        <f t="shared" si="8"/>
        <v>-1</v>
      </c>
      <c r="F24" s="5">
        <f>IFS(E24 &gt; F3, 1,E24 &lt; -F3, -1, TRUE, 0)</f>
        <v>-1</v>
      </c>
      <c r="G24" s="5">
        <v>0.0</v>
      </c>
      <c r="H24" s="5">
        <v>0.0</v>
      </c>
      <c r="I24" s="5">
        <v>0.0</v>
      </c>
      <c r="J24" s="26">
        <f t="shared" ref="J24:L24" si="10">J23+G24</f>
        <v>1</v>
      </c>
      <c r="K24" s="26">
        <f t="shared" si="10"/>
        <v>0</v>
      </c>
      <c r="L24" s="26">
        <f t="shared" si="10"/>
        <v>-2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1.0</v>
      </c>
      <c r="B25" s="5">
        <v>1.0</v>
      </c>
      <c r="C25" s="5">
        <v>1.0</v>
      </c>
      <c r="D25" s="5">
        <v>1.0</v>
      </c>
      <c r="E25" s="26">
        <f t="shared" si="8"/>
        <v>-1</v>
      </c>
      <c r="F25" s="5">
        <f>IFS(E25 &gt; F3, 1,E25 &lt; -F3, -1, TRUE, 0)</f>
        <v>-1</v>
      </c>
      <c r="G25" s="26">
        <f>F2*A25*D25</f>
        <v>1</v>
      </c>
      <c r="H25" s="26">
        <f>F2*B25*D25</f>
        <v>1</v>
      </c>
      <c r="I25" s="26">
        <f>F2*D25</f>
        <v>1</v>
      </c>
      <c r="J25" s="26">
        <f t="shared" ref="J25:L25" si="11">J24+G25</f>
        <v>2</v>
      </c>
      <c r="K25" s="26">
        <f t="shared" si="11"/>
        <v>1</v>
      </c>
      <c r="L25" s="26">
        <f t="shared" si="11"/>
        <v>-1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5</v>
      </c>
      <c r="B28" s="9"/>
      <c r="C28" s="10"/>
      <c r="D28" s="11" t="s">
        <v>6</v>
      </c>
      <c r="E28" s="12"/>
      <c r="F28" s="11" t="s">
        <v>7</v>
      </c>
      <c r="G28" s="13" t="s">
        <v>8</v>
      </c>
      <c r="H28" s="14"/>
      <c r="I28" s="15"/>
      <c r="J28" s="13" t="s">
        <v>9</v>
      </c>
      <c r="K28" s="14"/>
      <c r="L28" s="1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6"/>
      <c r="B29" s="17"/>
      <c r="C29" s="18"/>
      <c r="D29" s="19"/>
      <c r="E29" s="19"/>
      <c r="F29" s="19"/>
      <c r="G29" s="20" t="s">
        <v>10</v>
      </c>
      <c r="H29" s="15"/>
      <c r="I29" s="21" t="s">
        <v>11</v>
      </c>
      <c r="J29" s="13" t="s">
        <v>12</v>
      </c>
      <c r="K29" s="15"/>
      <c r="L29" s="22" t="s">
        <v>25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3" t="s">
        <v>0</v>
      </c>
      <c r="B30" s="23" t="s">
        <v>1</v>
      </c>
      <c r="C30" s="23">
        <v>1.0</v>
      </c>
      <c r="D30" s="23" t="s">
        <v>2</v>
      </c>
      <c r="E30" s="23" t="s">
        <v>14</v>
      </c>
      <c r="F30" s="23" t="s">
        <v>15</v>
      </c>
      <c r="G30" s="24" t="s">
        <v>16</v>
      </c>
      <c r="H30" s="24" t="s">
        <v>17</v>
      </c>
      <c r="I30" s="24" t="s">
        <v>18</v>
      </c>
      <c r="J30" s="23" t="s">
        <v>19</v>
      </c>
      <c r="K30" s="23" t="s">
        <v>20</v>
      </c>
      <c r="L30" s="23" t="s">
        <v>21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5" t="s">
        <v>26</v>
      </c>
      <c r="B31" s="14"/>
      <c r="C31" s="14"/>
      <c r="D31" s="14"/>
      <c r="E31" s="14"/>
      <c r="F31" s="14"/>
      <c r="G31" s="14"/>
      <c r="H31" s="14"/>
      <c r="I31" s="15"/>
      <c r="J31" s="5">
        <f t="shared" ref="J31:L31" si="12">J25</f>
        <v>2</v>
      </c>
      <c r="K31" s="5">
        <f t="shared" si="12"/>
        <v>1</v>
      </c>
      <c r="L31" s="5">
        <f t="shared" si="12"/>
        <v>-1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>
        <v>0.0</v>
      </c>
      <c r="B32" s="5">
        <v>0.0</v>
      </c>
      <c r="C32" s="5">
        <v>1.0</v>
      </c>
      <c r="D32" s="5">
        <v>-1.0</v>
      </c>
      <c r="E32" s="26">
        <f t="shared" ref="E32:E35" si="14">L31+(A32*J31)+(B32*K31)</f>
        <v>-1</v>
      </c>
      <c r="F32" s="5">
        <f>IFS(E32 &gt; F3, 1,E32 &lt; -F3, -1, TRUE, 0)</f>
        <v>-1</v>
      </c>
      <c r="G32" s="5">
        <v>0.0</v>
      </c>
      <c r="H32" s="5">
        <v>0.0</v>
      </c>
      <c r="I32" s="5">
        <v>0.0</v>
      </c>
      <c r="J32" s="26">
        <f t="shared" ref="J32:L32" si="13">J31+G32</f>
        <v>2</v>
      </c>
      <c r="K32" s="26">
        <f t="shared" si="13"/>
        <v>1</v>
      </c>
      <c r="L32" s="26">
        <f t="shared" si="13"/>
        <v>-1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0.0</v>
      </c>
      <c r="B33" s="5">
        <v>1.0</v>
      </c>
      <c r="C33" s="5">
        <v>1.0</v>
      </c>
      <c r="D33" s="5">
        <v>-1.0</v>
      </c>
      <c r="E33" s="26">
        <f t="shared" si="14"/>
        <v>0</v>
      </c>
      <c r="F33" s="5">
        <f>IFS(E33 &gt; F3, 1,E33 &lt; -F3, -1, TRUE, 0)</f>
        <v>0</v>
      </c>
      <c r="G33" s="5">
        <f>F2*A33*D33</f>
        <v>0</v>
      </c>
      <c r="H33" s="5">
        <f>F2*B33*D33</f>
        <v>-1</v>
      </c>
      <c r="I33" s="5">
        <f>F2*D33</f>
        <v>-1</v>
      </c>
      <c r="J33" s="26">
        <f t="shared" ref="J33:L33" si="15">J32+G33</f>
        <v>2</v>
      </c>
      <c r="K33" s="26">
        <f t="shared" si="15"/>
        <v>0</v>
      </c>
      <c r="L33" s="26">
        <f t="shared" si="15"/>
        <v>-2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>
        <v>1.0</v>
      </c>
      <c r="B34" s="5">
        <v>0.0</v>
      </c>
      <c r="C34" s="5">
        <v>1.0</v>
      </c>
      <c r="D34" s="5">
        <v>-1.0</v>
      </c>
      <c r="E34" s="26">
        <f t="shared" si="14"/>
        <v>0</v>
      </c>
      <c r="F34" s="5">
        <f>IFS(E34 &gt; F3, 1,E34 &lt; -F3, -1, TRUE, 0)</f>
        <v>0</v>
      </c>
      <c r="G34" s="5">
        <f>F2*A34*D34</f>
        <v>-1</v>
      </c>
      <c r="H34" s="5">
        <f>F2*B34*D34</f>
        <v>0</v>
      </c>
      <c r="I34" s="5">
        <f>F2*D34</f>
        <v>-1</v>
      </c>
      <c r="J34" s="26">
        <f t="shared" ref="J34:L34" si="16">J33+G34</f>
        <v>1</v>
      </c>
      <c r="K34" s="26">
        <f t="shared" si="16"/>
        <v>0</v>
      </c>
      <c r="L34" s="26">
        <f t="shared" si="16"/>
        <v>-3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1.0</v>
      </c>
      <c r="B35" s="5">
        <v>1.0</v>
      </c>
      <c r="C35" s="5">
        <v>1.0</v>
      </c>
      <c r="D35" s="5">
        <v>1.0</v>
      </c>
      <c r="E35" s="26">
        <f t="shared" si="14"/>
        <v>-2</v>
      </c>
      <c r="F35" s="5">
        <f>IFS(E35 &gt; F3, 1,E35 &lt; -F3, -1, TRUE, 0)</f>
        <v>-1</v>
      </c>
      <c r="G35" s="5">
        <f>F2*A35*D35</f>
        <v>1</v>
      </c>
      <c r="H35" s="5">
        <f>F2*B35*D35</f>
        <v>1</v>
      </c>
      <c r="I35" s="5">
        <f>F2*D35</f>
        <v>1</v>
      </c>
      <c r="J35" s="26">
        <f t="shared" ref="J35:L35" si="17">J34+G35</f>
        <v>2</v>
      </c>
      <c r="K35" s="26">
        <f t="shared" si="17"/>
        <v>1</v>
      </c>
      <c r="L35" s="26">
        <f t="shared" si="17"/>
        <v>-2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 t="s">
        <v>5</v>
      </c>
      <c r="B38" s="9"/>
      <c r="C38" s="10"/>
      <c r="D38" s="11" t="s">
        <v>6</v>
      </c>
      <c r="E38" s="12"/>
      <c r="F38" s="11" t="s">
        <v>7</v>
      </c>
      <c r="G38" s="13" t="s">
        <v>8</v>
      </c>
      <c r="H38" s="14"/>
      <c r="I38" s="15"/>
      <c r="J38" s="13" t="s">
        <v>9</v>
      </c>
      <c r="K38" s="14"/>
      <c r="L38" s="1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6"/>
      <c r="B39" s="17"/>
      <c r="C39" s="18"/>
      <c r="D39" s="19"/>
      <c r="E39" s="19"/>
      <c r="F39" s="19"/>
      <c r="G39" s="20" t="s">
        <v>10</v>
      </c>
      <c r="H39" s="15"/>
      <c r="I39" s="21" t="s">
        <v>11</v>
      </c>
      <c r="J39" s="13" t="s">
        <v>12</v>
      </c>
      <c r="K39" s="15"/>
      <c r="L39" s="22" t="s">
        <v>27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3" t="s">
        <v>0</v>
      </c>
      <c r="B40" s="23" t="s">
        <v>1</v>
      </c>
      <c r="C40" s="23">
        <v>1.0</v>
      </c>
      <c r="D40" s="23" t="s">
        <v>2</v>
      </c>
      <c r="E40" s="23" t="s">
        <v>14</v>
      </c>
      <c r="F40" s="23" t="s">
        <v>15</v>
      </c>
      <c r="G40" s="24" t="s">
        <v>16</v>
      </c>
      <c r="H40" s="24" t="s">
        <v>17</v>
      </c>
      <c r="I40" s="24" t="s">
        <v>18</v>
      </c>
      <c r="J40" s="23" t="s">
        <v>19</v>
      </c>
      <c r="K40" s="23" t="s">
        <v>20</v>
      </c>
      <c r="L40" s="23" t="s">
        <v>21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5" t="s">
        <v>28</v>
      </c>
      <c r="B41" s="14"/>
      <c r="C41" s="14"/>
      <c r="D41" s="14"/>
      <c r="E41" s="14"/>
      <c r="F41" s="14"/>
      <c r="G41" s="14"/>
      <c r="H41" s="14"/>
      <c r="I41" s="15"/>
      <c r="J41" s="5">
        <f t="shared" ref="J41:L41" si="18">J35</f>
        <v>2</v>
      </c>
      <c r="K41" s="5">
        <f t="shared" si="18"/>
        <v>1</v>
      </c>
      <c r="L41" s="5">
        <f t="shared" si="18"/>
        <v>-2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>
        <v>0.0</v>
      </c>
      <c r="B42" s="5">
        <v>0.0</v>
      </c>
      <c r="C42" s="5">
        <v>1.0</v>
      </c>
      <c r="D42" s="5">
        <v>-1.0</v>
      </c>
      <c r="E42" s="26">
        <f t="shared" ref="E42:E45" si="20">L41+(A42*J41)+(B42*K41)</f>
        <v>-2</v>
      </c>
      <c r="F42" s="5">
        <f>IFS(E42 &gt; F3, 1,E42 &lt; -F3, -1, TRUE, 0)</f>
        <v>-1</v>
      </c>
      <c r="G42" s="5">
        <v>0.0</v>
      </c>
      <c r="H42" s="5">
        <v>0.0</v>
      </c>
      <c r="I42" s="5">
        <v>0.0</v>
      </c>
      <c r="J42" s="26">
        <f t="shared" ref="J42:L42" si="19">J41+G42</f>
        <v>2</v>
      </c>
      <c r="K42" s="26">
        <f t="shared" si="19"/>
        <v>1</v>
      </c>
      <c r="L42" s="26">
        <f t="shared" si="19"/>
        <v>-2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0.0</v>
      </c>
      <c r="B43" s="5">
        <v>1.0</v>
      </c>
      <c r="C43" s="5">
        <v>1.0</v>
      </c>
      <c r="D43" s="5">
        <v>-1.0</v>
      </c>
      <c r="E43" s="26">
        <f t="shared" si="20"/>
        <v>-1</v>
      </c>
      <c r="F43" s="5">
        <f>IFS(E43 &gt; F3, 1,E43 &lt; -F3, -1, TRUE, 0)</f>
        <v>-1</v>
      </c>
      <c r="G43" s="5">
        <v>0.0</v>
      </c>
      <c r="H43" s="5">
        <v>0.0</v>
      </c>
      <c r="I43" s="5">
        <v>0.0</v>
      </c>
      <c r="J43" s="26">
        <f t="shared" ref="J43:L43" si="21">J42+G43</f>
        <v>2</v>
      </c>
      <c r="K43" s="26">
        <f t="shared" si="21"/>
        <v>1</v>
      </c>
      <c r="L43" s="26">
        <f t="shared" si="21"/>
        <v>-2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>
        <v>1.0</v>
      </c>
      <c r="B44" s="5">
        <v>0.0</v>
      </c>
      <c r="C44" s="5">
        <v>1.0</v>
      </c>
      <c r="D44" s="5">
        <v>-1.0</v>
      </c>
      <c r="E44" s="26">
        <f t="shared" si="20"/>
        <v>0</v>
      </c>
      <c r="F44" s="5">
        <f>IFS(E44 &gt; F3, 1,E44 &lt; -F3, -1, TRUE, 0)</f>
        <v>0</v>
      </c>
      <c r="G44" s="5">
        <f>F2*A44*D44</f>
        <v>-1</v>
      </c>
      <c r="H44" s="5">
        <f>F2*B44*D44</f>
        <v>0</v>
      </c>
      <c r="I44" s="5">
        <f>F2*D44</f>
        <v>-1</v>
      </c>
      <c r="J44" s="26">
        <f t="shared" ref="J44:L44" si="22">J43+G44</f>
        <v>1</v>
      </c>
      <c r="K44" s="26">
        <f t="shared" si="22"/>
        <v>1</v>
      </c>
      <c r="L44" s="26">
        <f t="shared" si="22"/>
        <v>-3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1.0</v>
      </c>
      <c r="B45" s="5">
        <v>1.0</v>
      </c>
      <c r="C45" s="5">
        <v>1.0</v>
      </c>
      <c r="D45" s="5">
        <v>1.0</v>
      </c>
      <c r="E45" s="26">
        <f t="shared" si="20"/>
        <v>-1</v>
      </c>
      <c r="F45" s="5">
        <f>IFS(E45 &gt; F3, 1,E45 &lt; -F3, -1, TRUE, 0)</f>
        <v>-1</v>
      </c>
      <c r="G45" s="5">
        <f>F2*A45*D45</f>
        <v>1</v>
      </c>
      <c r="H45" s="5">
        <f>F2*B45*D45</f>
        <v>1</v>
      </c>
      <c r="I45" s="5">
        <f>F2*D45</f>
        <v>1</v>
      </c>
      <c r="J45" s="26">
        <f t="shared" ref="J45:L45" si="23">J44+G45</f>
        <v>2</v>
      </c>
      <c r="K45" s="26">
        <f t="shared" si="23"/>
        <v>2</v>
      </c>
      <c r="L45" s="26">
        <f t="shared" si="23"/>
        <v>-2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 t="s">
        <v>5</v>
      </c>
      <c r="B48" s="9"/>
      <c r="C48" s="10"/>
      <c r="D48" s="11" t="s">
        <v>6</v>
      </c>
      <c r="E48" s="12"/>
      <c r="F48" s="11" t="s">
        <v>7</v>
      </c>
      <c r="G48" s="13" t="s">
        <v>8</v>
      </c>
      <c r="H48" s="14"/>
      <c r="I48" s="15"/>
      <c r="J48" s="13" t="s">
        <v>9</v>
      </c>
      <c r="K48" s="14"/>
      <c r="L48" s="15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6"/>
      <c r="B49" s="17"/>
      <c r="C49" s="18"/>
      <c r="D49" s="19"/>
      <c r="E49" s="19"/>
      <c r="F49" s="19"/>
      <c r="G49" s="20" t="s">
        <v>10</v>
      </c>
      <c r="H49" s="15"/>
      <c r="I49" s="21" t="s">
        <v>11</v>
      </c>
      <c r="J49" s="13" t="s">
        <v>12</v>
      </c>
      <c r="K49" s="15"/>
      <c r="L49" s="22" t="s">
        <v>29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3" t="s">
        <v>0</v>
      </c>
      <c r="B50" s="23" t="s">
        <v>1</v>
      </c>
      <c r="C50" s="23">
        <v>1.0</v>
      </c>
      <c r="D50" s="23" t="s">
        <v>2</v>
      </c>
      <c r="E50" s="23" t="s">
        <v>14</v>
      </c>
      <c r="F50" s="23" t="s">
        <v>15</v>
      </c>
      <c r="G50" s="24" t="s">
        <v>16</v>
      </c>
      <c r="H50" s="24" t="s">
        <v>17</v>
      </c>
      <c r="I50" s="24" t="s">
        <v>18</v>
      </c>
      <c r="J50" s="23" t="s">
        <v>19</v>
      </c>
      <c r="K50" s="23" t="s">
        <v>20</v>
      </c>
      <c r="L50" s="23" t="s">
        <v>21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5" t="s">
        <v>30</v>
      </c>
      <c r="B51" s="14"/>
      <c r="C51" s="14"/>
      <c r="D51" s="14"/>
      <c r="E51" s="14"/>
      <c r="F51" s="14"/>
      <c r="G51" s="14"/>
      <c r="H51" s="14"/>
      <c r="I51" s="15"/>
      <c r="J51" s="5">
        <f t="shared" ref="J51:L51" si="24">J45</f>
        <v>2</v>
      </c>
      <c r="K51" s="5">
        <f t="shared" si="24"/>
        <v>2</v>
      </c>
      <c r="L51" s="5">
        <f t="shared" si="24"/>
        <v>-2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>
        <v>0.0</v>
      </c>
      <c r="B52" s="5">
        <v>0.0</v>
      </c>
      <c r="C52" s="5">
        <v>1.0</v>
      </c>
      <c r="D52" s="5">
        <v>-1.0</v>
      </c>
      <c r="E52" s="26">
        <f t="shared" ref="E52:E55" si="26">L51+(A52*J51)+(B52*K51)</f>
        <v>-2</v>
      </c>
      <c r="F52" s="5">
        <f>IFS(E52 &gt; F3, 1,E52 &lt; -F3, -1, TRUE, 0)</f>
        <v>-1</v>
      </c>
      <c r="G52" s="5">
        <v>0.0</v>
      </c>
      <c r="H52" s="5">
        <v>0.0</v>
      </c>
      <c r="I52" s="5">
        <v>0.0</v>
      </c>
      <c r="J52" s="26">
        <f t="shared" ref="J52:L52" si="25">J51+G52</f>
        <v>2</v>
      </c>
      <c r="K52" s="26">
        <f t="shared" si="25"/>
        <v>2</v>
      </c>
      <c r="L52" s="26">
        <f t="shared" si="25"/>
        <v>-2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>
        <v>0.0</v>
      </c>
      <c r="B53" s="5">
        <v>1.0</v>
      </c>
      <c r="C53" s="5">
        <v>1.0</v>
      </c>
      <c r="D53" s="5">
        <v>-1.0</v>
      </c>
      <c r="E53" s="26">
        <f t="shared" si="26"/>
        <v>0</v>
      </c>
      <c r="F53" s="5">
        <f>IFS(E53 &gt; F3, 1,E53 &lt; -F3, -1, TRUE, 0)</f>
        <v>0</v>
      </c>
      <c r="G53" s="5">
        <f>F2*A53*D53</f>
        <v>0</v>
      </c>
      <c r="H53" s="5">
        <f>F2*B53*D53</f>
        <v>-1</v>
      </c>
      <c r="I53" s="5">
        <f>F2*D53</f>
        <v>-1</v>
      </c>
      <c r="J53" s="26">
        <f t="shared" ref="J53:L53" si="27">J52+G53</f>
        <v>2</v>
      </c>
      <c r="K53" s="26">
        <f t="shared" si="27"/>
        <v>1</v>
      </c>
      <c r="L53" s="26">
        <f t="shared" si="27"/>
        <v>-3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>
        <v>1.0</v>
      </c>
      <c r="B54" s="5">
        <v>0.0</v>
      </c>
      <c r="C54" s="5">
        <v>1.0</v>
      </c>
      <c r="D54" s="5">
        <v>-1.0</v>
      </c>
      <c r="E54" s="26">
        <f t="shared" si="26"/>
        <v>-1</v>
      </c>
      <c r="F54" s="5">
        <f>IFS(E54 &gt; F3, 1,E54 &lt; -F3, -1, TRUE, 0)</f>
        <v>-1</v>
      </c>
      <c r="G54" s="5">
        <v>0.0</v>
      </c>
      <c r="H54" s="5">
        <v>0.0</v>
      </c>
      <c r="I54" s="5">
        <v>0.0</v>
      </c>
      <c r="J54" s="26">
        <f t="shared" ref="J54:L54" si="28">J53+G54</f>
        <v>2</v>
      </c>
      <c r="K54" s="26">
        <f t="shared" si="28"/>
        <v>1</v>
      </c>
      <c r="L54" s="26">
        <f t="shared" si="28"/>
        <v>-3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>
        <v>1.0</v>
      </c>
      <c r="B55" s="5">
        <v>1.0</v>
      </c>
      <c r="C55" s="5">
        <v>1.0</v>
      </c>
      <c r="D55" s="5">
        <v>1.0</v>
      </c>
      <c r="E55" s="26">
        <f t="shared" si="26"/>
        <v>0</v>
      </c>
      <c r="F55" s="5">
        <f>IFS(E55 &gt; F3, 1,E55 &lt; -F3, -1, TRUE, 0)</f>
        <v>0</v>
      </c>
      <c r="G55" s="5">
        <f>F2*A55*D55</f>
        <v>1</v>
      </c>
      <c r="H55" s="5">
        <f>F2*B55*D55</f>
        <v>1</v>
      </c>
      <c r="I55" s="5">
        <f>F2*D55</f>
        <v>1</v>
      </c>
      <c r="J55" s="26">
        <f t="shared" ref="J55:L55" si="29">J54+G55</f>
        <v>3</v>
      </c>
      <c r="K55" s="26">
        <f t="shared" si="29"/>
        <v>2</v>
      </c>
      <c r="L55" s="26">
        <f t="shared" si="29"/>
        <v>-2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5</v>
      </c>
      <c r="B58" s="9"/>
      <c r="C58" s="10"/>
      <c r="D58" s="11" t="s">
        <v>6</v>
      </c>
      <c r="E58" s="12"/>
      <c r="F58" s="11" t="s">
        <v>7</v>
      </c>
      <c r="G58" s="13" t="s">
        <v>8</v>
      </c>
      <c r="H58" s="14"/>
      <c r="I58" s="15"/>
      <c r="J58" s="13" t="s">
        <v>9</v>
      </c>
      <c r="K58" s="14"/>
      <c r="L58" s="1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6"/>
      <c r="B59" s="17"/>
      <c r="C59" s="18"/>
      <c r="D59" s="19"/>
      <c r="E59" s="19"/>
      <c r="F59" s="19"/>
      <c r="G59" s="20" t="s">
        <v>10</v>
      </c>
      <c r="H59" s="15"/>
      <c r="I59" s="21" t="s">
        <v>11</v>
      </c>
      <c r="J59" s="13" t="s">
        <v>12</v>
      </c>
      <c r="K59" s="15"/>
      <c r="L59" s="22" t="s">
        <v>31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3" t="s">
        <v>0</v>
      </c>
      <c r="B60" s="23" t="s">
        <v>1</v>
      </c>
      <c r="C60" s="23">
        <v>1.0</v>
      </c>
      <c r="D60" s="23" t="s">
        <v>2</v>
      </c>
      <c r="E60" s="23" t="s">
        <v>14</v>
      </c>
      <c r="F60" s="23" t="s">
        <v>15</v>
      </c>
      <c r="G60" s="24" t="s">
        <v>16</v>
      </c>
      <c r="H60" s="24" t="s">
        <v>17</v>
      </c>
      <c r="I60" s="24" t="s">
        <v>18</v>
      </c>
      <c r="J60" s="23" t="s">
        <v>19</v>
      </c>
      <c r="K60" s="23" t="s">
        <v>20</v>
      </c>
      <c r="L60" s="23" t="s">
        <v>21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5" t="s">
        <v>32</v>
      </c>
      <c r="B61" s="14"/>
      <c r="C61" s="14"/>
      <c r="D61" s="14"/>
      <c r="E61" s="14"/>
      <c r="F61" s="14"/>
      <c r="G61" s="14"/>
      <c r="H61" s="14"/>
      <c r="I61" s="15"/>
      <c r="J61" s="5">
        <f t="shared" ref="J61:L61" si="30">J55</f>
        <v>3</v>
      </c>
      <c r="K61" s="5">
        <f t="shared" si="30"/>
        <v>2</v>
      </c>
      <c r="L61" s="5">
        <f t="shared" si="30"/>
        <v>-2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v>0.0</v>
      </c>
      <c r="B62" s="5">
        <v>0.0</v>
      </c>
      <c r="C62" s="5">
        <v>1.0</v>
      </c>
      <c r="D62" s="5">
        <v>-1.0</v>
      </c>
      <c r="E62" s="26">
        <f t="shared" ref="E62:E65" si="32">L61+(A62*J61)+(B62*K61)</f>
        <v>-2</v>
      </c>
      <c r="F62" s="5">
        <f>IFS(E62 &gt; F3, 1,E62 &lt; -F3, -1, TRUE, 0)</f>
        <v>-1</v>
      </c>
      <c r="G62" s="5">
        <v>0.0</v>
      </c>
      <c r="H62" s="5">
        <v>0.0</v>
      </c>
      <c r="I62" s="5">
        <v>0.0</v>
      </c>
      <c r="J62" s="26">
        <f t="shared" ref="J62:L62" si="31">J61+G62</f>
        <v>3</v>
      </c>
      <c r="K62" s="26">
        <f t="shared" si="31"/>
        <v>2</v>
      </c>
      <c r="L62" s="26">
        <f t="shared" si="31"/>
        <v>-2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>
        <v>0.0</v>
      </c>
      <c r="B63" s="5">
        <v>1.0</v>
      </c>
      <c r="C63" s="5">
        <v>1.0</v>
      </c>
      <c r="D63" s="5">
        <v>-1.0</v>
      </c>
      <c r="E63" s="26">
        <f t="shared" si="32"/>
        <v>0</v>
      </c>
      <c r="F63" s="5">
        <f>IFS(E63 &gt; F3, 1,E63 &lt; -F3, -1, TRUE, 0)</f>
        <v>0</v>
      </c>
      <c r="G63" s="5">
        <f>F2*A63*D63</f>
        <v>0</v>
      </c>
      <c r="H63" s="5">
        <f>F2*B63*D63</f>
        <v>-1</v>
      </c>
      <c r="I63" s="5">
        <f>F2*D63</f>
        <v>-1</v>
      </c>
      <c r="J63" s="26">
        <f t="shared" ref="J63:L63" si="33">J62+G63</f>
        <v>3</v>
      </c>
      <c r="K63" s="26">
        <f t="shared" si="33"/>
        <v>1</v>
      </c>
      <c r="L63" s="26">
        <f t="shared" si="33"/>
        <v>-3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>
        <v>1.0</v>
      </c>
      <c r="B64" s="5">
        <v>0.0</v>
      </c>
      <c r="C64" s="5">
        <v>1.0</v>
      </c>
      <c r="D64" s="5">
        <v>-1.0</v>
      </c>
      <c r="E64" s="26">
        <f t="shared" si="32"/>
        <v>0</v>
      </c>
      <c r="F64" s="5">
        <f>IFS(E64 &gt; F3, 1,E64 &lt; -F3, -1, TRUE, 0)</f>
        <v>0</v>
      </c>
      <c r="G64" s="5">
        <f>F2*A64*D64</f>
        <v>-1</v>
      </c>
      <c r="H64" s="5">
        <f>F2*B64*D64</f>
        <v>0</v>
      </c>
      <c r="I64" s="5">
        <f>F2*D64</f>
        <v>-1</v>
      </c>
      <c r="J64" s="26">
        <f t="shared" ref="J64:L64" si="34">J63+G64</f>
        <v>2</v>
      </c>
      <c r="K64" s="26">
        <f t="shared" si="34"/>
        <v>1</v>
      </c>
      <c r="L64" s="26">
        <f t="shared" si="34"/>
        <v>-4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>
        <v>1.0</v>
      </c>
      <c r="B65" s="5">
        <v>1.0</v>
      </c>
      <c r="C65" s="5">
        <v>1.0</v>
      </c>
      <c r="D65" s="5">
        <v>1.0</v>
      </c>
      <c r="E65" s="26">
        <f t="shared" si="32"/>
        <v>-1</v>
      </c>
      <c r="F65" s="5">
        <f>IFS(E65 &gt; F3, 1,E65 &lt; -F3, -1, TRUE, 0)</f>
        <v>-1</v>
      </c>
      <c r="G65" s="5">
        <f>F2*A65*D65</f>
        <v>1</v>
      </c>
      <c r="H65" s="5">
        <f>F2*B65*D65</f>
        <v>1</v>
      </c>
      <c r="I65" s="5">
        <f>F2*D65</f>
        <v>1</v>
      </c>
      <c r="J65" s="26">
        <f t="shared" ref="J65:L65" si="35">J64+G65</f>
        <v>3</v>
      </c>
      <c r="K65" s="26">
        <f t="shared" si="35"/>
        <v>2</v>
      </c>
      <c r="L65" s="26">
        <f t="shared" si="35"/>
        <v>-3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 t="s">
        <v>5</v>
      </c>
      <c r="B68" s="9"/>
      <c r="C68" s="10"/>
      <c r="D68" s="11" t="s">
        <v>6</v>
      </c>
      <c r="E68" s="12"/>
      <c r="F68" s="11" t="s">
        <v>7</v>
      </c>
      <c r="G68" s="13" t="s">
        <v>8</v>
      </c>
      <c r="H68" s="14"/>
      <c r="I68" s="15"/>
      <c r="J68" s="13" t="s">
        <v>9</v>
      </c>
      <c r="K68" s="14"/>
      <c r="L68" s="1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6"/>
      <c r="B69" s="17"/>
      <c r="C69" s="18"/>
      <c r="D69" s="19"/>
      <c r="E69" s="19"/>
      <c r="F69" s="19"/>
      <c r="G69" s="20" t="s">
        <v>10</v>
      </c>
      <c r="H69" s="15"/>
      <c r="I69" s="21" t="s">
        <v>11</v>
      </c>
      <c r="J69" s="13" t="s">
        <v>12</v>
      </c>
      <c r="K69" s="15"/>
      <c r="L69" s="22" t="s">
        <v>33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3" t="s">
        <v>0</v>
      </c>
      <c r="B70" s="23" t="s">
        <v>1</v>
      </c>
      <c r="C70" s="23">
        <v>1.0</v>
      </c>
      <c r="D70" s="23" t="s">
        <v>2</v>
      </c>
      <c r="E70" s="23" t="s">
        <v>14</v>
      </c>
      <c r="F70" s="23" t="s">
        <v>15</v>
      </c>
      <c r="G70" s="24" t="s">
        <v>16</v>
      </c>
      <c r="H70" s="24" t="s">
        <v>17</v>
      </c>
      <c r="I70" s="24" t="s">
        <v>18</v>
      </c>
      <c r="J70" s="23" t="s">
        <v>19</v>
      </c>
      <c r="K70" s="23" t="s">
        <v>20</v>
      </c>
      <c r="L70" s="23" t="s">
        <v>21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5" t="s">
        <v>34</v>
      </c>
      <c r="B71" s="14"/>
      <c r="C71" s="14"/>
      <c r="D71" s="14"/>
      <c r="E71" s="14"/>
      <c r="F71" s="14"/>
      <c r="G71" s="14"/>
      <c r="H71" s="14"/>
      <c r="I71" s="15"/>
      <c r="J71" s="5">
        <f t="shared" ref="J71:L71" si="36">J65</f>
        <v>3</v>
      </c>
      <c r="K71" s="5">
        <f t="shared" si="36"/>
        <v>2</v>
      </c>
      <c r="L71" s="5">
        <f t="shared" si="36"/>
        <v>-3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>
        <v>0.0</v>
      </c>
      <c r="B72" s="5">
        <v>0.0</v>
      </c>
      <c r="C72" s="5">
        <v>1.0</v>
      </c>
      <c r="D72" s="5">
        <v>-1.0</v>
      </c>
      <c r="E72" s="26">
        <f t="shared" ref="E72:E75" si="38">L71+(A72*J71)+(B72*K71)</f>
        <v>-3</v>
      </c>
      <c r="F72" s="5">
        <f>IFS(E72 &gt; F3, 1,E72 &lt; -F3, -1, TRUE, 0)</f>
        <v>-1</v>
      </c>
      <c r="G72" s="5">
        <v>0.0</v>
      </c>
      <c r="H72" s="5">
        <v>0.0</v>
      </c>
      <c r="I72" s="5">
        <v>0.0</v>
      </c>
      <c r="J72" s="26">
        <f t="shared" ref="J72:L72" si="37">J71+G72</f>
        <v>3</v>
      </c>
      <c r="K72" s="26">
        <f t="shared" si="37"/>
        <v>2</v>
      </c>
      <c r="L72" s="26">
        <f t="shared" si="37"/>
        <v>-3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>
        <v>0.0</v>
      </c>
      <c r="B73" s="5">
        <v>1.0</v>
      </c>
      <c r="C73" s="5">
        <v>1.0</v>
      </c>
      <c r="D73" s="5">
        <v>-1.0</v>
      </c>
      <c r="E73" s="26">
        <f t="shared" si="38"/>
        <v>-1</v>
      </c>
      <c r="F73" s="5">
        <f>IFS(E73 &gt; F3, 1,E73 &lt; -F3, -1, TRUE, 0)</f>
        <v>-1</v>
      </c>
      <c r="G73" s="5">
        <v>0.0</v>
      </c>
      <c r="H73" s="5">
        <v>0.0</v>
      </c>
      <c r="I73" s="5">
        <v>0.0</v>
      </c>
      <c r="J73" s="26">
        <f t="shared" ref="J73:L73" si="39">J72+G73</f>
        <v>3</v>
      </c>
      <c r="K73" s="26">
        <f t="shared" si="39"/>
        <v>2</v>
      </c>
      <c r="L73" s="26">
        <f t="shared" si="39"/>
        <v>-3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>
        <v>1.0</v>
      </c>
      <c r="B74" s="5">
        <v>0.0</v>
      </c>
      <c r="C74" s="5">
        <v>1.0</v>
      </c>
      <c r="D74" s="5">
        <v>-1.0</v>
      </c>
      <c r="E74" s="26">
        <f t="shared" si="38"/>
        <v>0</v>
      </c>
      <c r="F74" s="5">
        <f>IFS(E74 &gt; F3, 1,E74 &lt; -F3, -1, TRUE, 0)</f>
        <v>0</v>
      </c>
      <c r="G74" s="5">
        <f>F2*A74*D74</f>
        <v>-1</v>
      </c>
      <c r="H74" s="5">
        <f>F2*B74*D74</f>
        <v>0</v>
      </c>
      <c r="I74" s="5">
        <f>F2*D74</f>
        <v>-1</v>
      </c>
      <c r="J74" s="26">
        <f t="shared" ref="J74:L74" si="40">J73+G74</f>
        <v>2</v>
      </c>
      <c r="K74" s="26">
        <f t="shared" si="40"/>
        <v>2</v>
      </c>
      <c r="L74" s="26">
        <f t="shared" si="40"/>
        <v>-4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>
        <v>1.0</v>
      </c>
      <c r="B75" s="5">
        <v>1.0</v>
      </c>
      <c r="C75" s="5">
        <v>1.0</v>
      </c>
      <c r="D75" s="5">
        <v>1.0</v>
      </c>
      <c r="E75" s="26">
        <f t="shared" si="38"/>
        <v>0</v>
      </c>
      <c r="F75" s="5">
        <f>IFS(E75 &gt; F3, 1,E75 &lt; -F3, -1, TRUE, 0)</f>
        <v>0</v>
      </c>
      <c r="G75" s="5">
        <f>F2*A75*D75</f>
        <v>1</v>
      </c>
      <c r="H75" s="5">
        <f>F2*B75*D75</f>
        <v>1</v>
      </c>
      <c r="I75" s="5">
        <f>F2*D75</f>
        <v>1</v>
      </c>
      <c r="J75" s="26">
        <f t="shared" ref="J75:L75" si="41">J74+G75</f>
        <v>3</v>
      </c>
      <c r="K75" s="26">
        <f t="shared" si="41"/>
        <v>3</v>
      </c>
      <c r="L75" s="26">
        <f t="shared" si="41"/>
        <v>-3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 t="s">
        <v>5</v>
      </c>
      <c r="B78" s="9"/>
      <c r="C78" s="10"/>
      <c r="D78" s="11" t="s">
        <v>6</v>
      </c>
      <c r="E78" s="12"/>
      <c r="F78" s="11" t="s">
        <v>7</v>
      </c>
      <c r="G78" s="13" t="s">
        <v>8</v>
      </c>
      <c r="H78" s="14"/>
      <c r="I78" s="15"/>
      <c r="J78" s="13" t="s">
        <v>9</v>
      </c>
      <c r="K78" s="14"/>
      <c r="L78" s="1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6"/>
      <c r="B79" s="17"/>
      <c r="C79" s="18"/>
      <c r="D79" s="19"/>
      <c r="E79" s="19"/>
      <c r="F79" s="19"/>
      <c r="G79" s="20" t="s">
        <v>10</v>
      </c>
      <c r="H79" s="15"/>
      <c r="I79" s="21" t="s">
        <v>11</v>
      </c>
      <c r="J79" s="13" t="s">
        <v>12</v>
      </c>
      <c r="K79" s="15"/>
      <c r="L79" s="22" t="s">
        <v>35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3" t="s">
        <v>0</v>
      </c>
      <c r="B80" s="23" t="s">
        <v>1</v>
      </c>
      <c r="C80" s="23">
        <v>1.0</v>
      </c>
      <c r="D80" s="23" t="s">
        <v>2</v>
      </c>
      <c r="E80" s="23" t="s">
        <v>14</v>
      </c>
      <c r="F80" s="23" t="s">
        <v>15</v>
      </c>
      <c r="G80" s="24" t="s">
        <v>16</v>
      </c>
      <c r="H80" s="24" t="s">
        <v>17</v>
      </c>
      <c r="I80" s="24" t="s">
        <v>18</v>
      </c>
      <c r="J80" s="23" t="s">
        <v>19</v>
      </c>
      <c r="K80" s="23" t="s">
        <v>20</v>
      </c>
      <c r="L80" s="23" t="s">
        <v>21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5" t="s">
        <v>36</v>
      </c>
      <c r="B81" s="14"/>
      <c r="C81" s="14"/>
      <c r="D81" s="14"/>
      <c r="E81" s="14"/>
      <c r="F81" s="14"/>
      <c r="G81" s="14"/>
      <c r="H81" s="14"/>
      <c r="I81" s="15"/>
      <c r="J81" s="5">
        <f t="shared" ref="J81:L81" si="42">J75</f>
        <v>3</v>
      </c>
      <c r="K81" s="5">
        <f t="shared" si="42"/>
        <v>3</v>
      </c>
      <c r="L81" s="5">
        <f t="shared" si="42"/>
        <v>-3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>
        <v>0.0</v>
      </c>
      <c r="B82" s="5">
        <v>0.0</v>
      </c>
      <c r="C82" s="5">
        <v>1.0</v>
      </c>
      <c r="D82" s="5">
        <v>-1.0</v>
      </c>
      <c r="E82" s="26">
        <f t="shared" ref="E82:E85" si="44">L81+(A82*J81)+(B82*K81)</f>
        <v>-3</v>
      </c>
      <c r="F82" s="5">
        <f>IFS(E82 &gt; F3, 1,E82 &lt; -F3, -1, TRUE, 0)</f>
        <v>-1</v>
      </c>
      <c r="G82" s="5">
        <v>0.0</v>
      </c>
      <c r="H82" s="5">
        <v>0.0</v>
      </c>
      <c r="I82" s="5">
        <v>0.0</v>
      </c>
      <c r="J82" s="26">
        <f t="shared" ref="J82:L82" si="43">J81+G82</f>
        <v>3</v>
      </c>
      <c r="K82" s="26">
        <f t="shared" si="43"/>
        <v>3</v>
      </c>
      <c r="L82" s="26">
        <f t="shared" si="43"/>
        <v>-3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0.0</v>
      </c>
      <c r="B83" s="5">
        <v>1.0</v>
      </c>
      <c r="C83" s="5">
        <v>1.0</v>
      </c>
      <c r="D83" s="5">
        <v>-1.0</v>
      </c>
      <c r="E83" s="26">
        <f t="shared" si="44"/>
        <v>0</v>
      </c>
      <c r="F83" s="5">
        <f>IFS(E83 &gt; F3, 1,E83 &lt; -F3, -1, TRUE, 0)</f>
        <v>0</v>
      </c>
      <c r="G83" s="5">
        <f>F2*A83*D83</f>
        <v>0</v>
      </c>
      <c r="H83" s="5">
        <f>F2*B83*D83</f>
        <v>-1</v>
      </c>
      <c r="I83" s="5">
        <f>F2*D83</f>
        <v>-1</v>
      </c>
      <c r="J83" s="26">
        <f t="shared" ref="J83:L83" si="45">J82+G83</f>
        <v>3</v>
      </c>
      <c r="K83" s="26">
        <f t="shared" si="45"/>
        <v>2</v>
      </c>
      <c r="L83" s="26">
        <f t="shared" si="45"/>
        <v>-4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>
        <v>1.0</v>
      </c>
      <c r="B84" s="5">
        <v>0.0</v>
      </c>
      <c r="C84" s="5">
        <v>1.0</v>
      </c>
      <c r="D84" s="5">
        <v>-1.0</v>
      </c>
      <c r="E84" s="26">
        <f t="shared" si="44"/>
        <v>-1</v>
      </c>
      <c r="F84" s="5">
        <f>IFS(E84 &gt; F3, 1,E84 &lt; -F3, -1, TRUE, 0)</f>
        <v>-1</v>
      </c>
      <c r="G84" s="5">
        <v>0.0</v>
      </c>
      <c r="H84" s="5">
        <v>0.0</v>
      </c>
      <c r="I84" s="5">
        <v>0.0</v>
      </c>
      <c r="J84" s="26">
        <f t="shared" ref="J84:L84" si="46">J83+G84</f>
        <v>3</v>
      </c>
      <c r="K84" s="26">
        <f t="shared" si="46"/>
        <v>2</v>
      </c>
      <c r="L84" s="26">
        <f t="shared" si="46"/>
        <v>-4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>
        <v>1.0</v>
      </c>
      <c r="B85" s="5">
        <v>1.0</v>
      </c>
      <c r="C85" s="5">
        <v>1.0</v>
      </c>
      <c r="D85" s="5">
        <v>1.0</v>
      </c>
      <c r="E85" s="26">
        <f t="shared" si="44"/>
        <v>1</v>
      </c>
      <c r="F85" s="5">
        <f>IFS(E85 &gt; F3, 1,E85 &lt; -F3, -1, TRUE, 0)</f>
        <v>1</v>
      </c>
      <c r="G85" s="5">
        <v>0.0</v>
      </c>
      <c r="H85" s="5">
        <v>0.0</v>
      </c>
      <c r="I85" s="5">
        <v>0.0</v>
      </c>
      <c r="J85" s="26">
        <f t="shared" ref="J85:L85" si="47">J84+G85</f>
        <v>3</v>
      </c>
      <c r="K85" s="26">
        <f t="shared" si="47"/>
        <v>2</v>
      </c>
      <c r="L85" s="26">
        <f t="shared" si="47"/>
        <v>-4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7" t="s">
        <v>5</v>
      </c>
      <c r="B88" s="9"/>
      <c r="C88" s="10"/>
      <c r="D88" s="28" t="s">
        <v>6</v>
      </c>
      <c r="E88" s="29"/>
      <c r="F88" s="28" t="s">
        <v>7</v>
      </c>
      <c r="G88" s="30" t="s">
        <v>8</v>
      </c>
      <c r="H88" s="14"/>
      <c r="I88" s="15"/>
      <c r="J88" s="30" t="s">
        <v>9</v>
      </c>
      <c r="K88" s="14"/>
      <c r="L88" s="1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6"/>
      <c r="B89" s="17"/>
      <c r="C89" s="18"/>
      <c r="D89" s="19"/>
      <c r="E89" s="19"/>
      <c r="F89" s="19"/>
      <c r="G89" s="31" t="s">
        <v>10</v>
      </c>
      <c r="H89" s="15"/>
      <c r="I89" s="32" t="s">
        <v>11</v>
      </c>
      <c r="J89" s="30" t="s">
        <v>12</v>
      </c>
      <c r="K89" s="15"/>
      <c r="L89" s="33" t="s">
        <v>37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4" t="s">
        <v>0</v>
      </c>
      <c r="B90" s="34" t="s">
        <v>1</v>
      </c>
      <c r="C90" s="34">
        <v>1.0</v>
      </c>
      <c r="D90" s="34" t="s">
        <v>2</v>
      </c>
      <c r="E90" s="34" t="s">
        <v>14</v>
      </c>
      <c r="F90" s="34" t="s">
        <v>15</v>
      </c>
      <c r="G90" s="35" t="s">
        <v>16</v>
      </c>
      <c r="H90" s="35" t="s">
        <v>17</v>
      </c>
      <c r="I90" s="35" t="s">
        <v>18</v>
      </c>
      <c r="J90" s="34" t="s">
        <v>19</v>
      </c>
      <c r="K90" s="34" t="s">
        <v>20</v>
      </c>
      <c r="L90" s="34" t="s">
        <v>21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5" t="s">
        <v>38</v>
      </c>
      <c r="B91" s="14"/>
      <c r="C91" s="14"/>
      <c r="D91" s="14"/>
      <c r="E91" s="14"/>
      <c r="F91" s="14"/>
      <c r="G91" s="14"/>
      <c r="H91" s="14"/>
      <c r="I91" s="15"/>
      <c r="J91" s="5">
        <f t="shared" ref="J91:L91" si="48">J85</f>
        <v>3</v>
      </c>
      <c r="K91" s="5">
        <f t="shared" si="48"/>
        <v>2</v>
      </c>
      <c r="L91" s="5">
        <f t="shared" si="48"/>
        <v>-4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>
        <v>0.0</v>
      </c>
      <c r="B92" s="5">
        <v>0.0</v>
      </c>
      <c r="C92" s="5">
        <v>1.0</v>
      </c>
      <c r="D92" s="5">
        <v>-1.0</v>
      </c>
      <c r="E92" s="26">
        <f t="shared" ref="E92:E95" si="50">L91+(A92*J91)+(B92*K91)</f>
        <v>-4</v>
      </c>
      <c r="F92" s="5">
        <f>IFS(E92 &gt; F3, 1,E92 &lt; -F3, -1, TRUE, 0)</f>
        <v>-1</v>
      </c>
      <c r="G92" s="5">
        <v>0.0</v>
      </c>
      <c r="H92" s="5">
        <v>0.0</v>
      </c>
      <c r="I92" s="5">
        <v>0.0</v>
      </c>
      <c r="J92" s="26">
        <f t="shared" ref="J92:L92" si="49">J91+G92</f>
        <v>3</v>
      </c>
      <c r="K92" s="26">
        <f t="shared" si="49"/>
        <v>2</v>
      </c>
      <c r="L92" s="26">
        <f t="shared" si="49"/>
        <v>-4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0.0</v>
      </c>
      <c r="B93" s="5">
        <v>1.0</v>
      </c>
      <c r="C93" s="5">
        <v>1.0</v>
      </c>
      <c r="D93" s="5">
        <v>-1.0</v>
      </c>
      <c r="E93" s="26">
        <f t="shared" si="50"/>
        <v>-2</v>
      </c>
      <c r="F93" s="5">
        <f>IFS(E93 &gt; F3, 1,E93 &lt; -F3, -1, TRUE, 0)</f>
        <v>-1</v>
      </c>
      <c r="G93" s="5">
        <v>0.0</v>
      </c>
      <c r="H93" s="5">
        <v>0.0</v>
      </c>
      <c r="I93" s="5">
        <v>0.0</v>
      </c>
      <c r="J93" s="26">
        <f t="shared" ref="J93:L93" si="51">J92+G93</f>
        <v>3</v>
      </c>
      <c r="K93" s="26">
        <f t="shared" si="51"/>
        <v>2</v>
      </c>
      <c r="L93" s="26">
        <f t="shared" si="51"/>
        <v>-4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>
        <v>1.0</v>
      </c>
      <c r="B94" s="5">
        <v>0.0</v>
      </c>
      <c r="C94" s="5">
        <v>1.0</v>
      </c>
      <c r="D94" s="5">
        <v>-1.0</v>
      </c>
      <c r="E94" s="26">
        <f t="shared" si="50"/>
        <v>-1</v>
      </c>
      <c r="F94" s="5">
        <f>IFS(E94 &gt; F3, 1,E94 &lt; -F3, -1, TRUE, 0)</f>
        <v>-1</v>
      </c>
      <c r="G94" s="5">
        <v>0.0</v>
      </c>
      <c r="H94" s="5">
        <v>0.0</v>
      </c>
      <c r="I94" s="5">
        <v>0.0</v>
      </c>
      <c r="J94" s="26">
        <f t="shared" ref="J94:L94" si="52">J93+G94</f>
        <v>3</v>
      </c>
      <c r="K94" s="26">
        <f t="shared" si="52"/>
        <v>2</v>
      </c>
      <c r="L94" s="26">
        <f t="shared" si="52"/>
        <v>-4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1.0</v>
      </c>
      <c r="B95" s="5">
        <v>1.0</v>
      </c>
      <c r="C95" s="5">
        <v>1.0</v>
      </c>
      <c r="D95" s="5">
        <v>1.0</v>
      </c>
      <c r="E95" s="26">
        <f t="shared" si="50"/>
        <v>1</v>
      </c>
      <c r="F95" s="5">
        <f>IFS(E95 &gt; F3, 1,E95 &lt; -F3, -1, TRUE, 0)</f>
        <v>1</v>
      </c>
      <c r="G95" s="5">
        <v>0.0</v>
      </c>
      <c r="H95" s="5">
        <v>0.0</v>
      </c>
      <c r="I95" s="5">
        <v>0.0</v>
      </c>
      <c r="J95" s="26">
        <f t="shared" ref="J95:L95" si="53">J94+G95</f>
        <v>3</v>
      </c>
      <c r="K95" s="26">
        <f t="shared" si="53"/>
        <v>2</v>
      </c>
      <c r="L95" s="26">
        <f t="shared" si="53"/>
        <v>-4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81">
    <mergeCell ref="A28:C29"/>
    <mergeCell ref="A31:I31"/>
    <mergeCell ref="D38:D39"/>
    <mergeCell ref="E38:E39"/>
    <mergeCell ref="F38:F39"/>
    <mergeCell ref="J38:L38"/>
    <mergeCell ref="J39:K39"/>
    <mergeCell ref="A38:C39"/>
    <mergeCell ref="A41:I41"/>
    <mergeCell ref="A48:C49"/>
    <mergeCell ref="D48:D49"/>
    <mergeCell ref="E48:E49"/>
    <mergeCell ref="F48:F49"/>
    <mergeCell ref="J48:L48"/>
    <mergeCell ref="J49:K49"/>
    <mergeCell ref="G48:I48"/>
    <mergeCell ref="G49:H49"/>
    <mergeCell ref="A51:I51"/>
    <mergeCell ref="A58:C59"/>
    <mergeCell ref="D58:D59"/>
    <mergeCell ref="E58:E59"/>
    <mergeCell ref="F58:F59"/>
    <mergeCell ref="A68:C69"/>
    <mergeCell ref="A71:I71"/>
    <mergeCell ref="G59:H59"/>
    <mergeCell ref="A61:I61"/>
    <mergeCell ref="D68:D69"/>
    <mergeCell ref="E68:E69"/>
    <mergeCell ref="F68:F69"/>
    <mergeCell ref="J68:L68"/>
    <mergeCell ref="J69:K69"/>
    <mergeCell ref="G79:H79"/>
    <mergeCell ref="A81:I81"/>
    <mergeCell ref="A91:I91"/>
    <mergeCell ref="F88:F89"/>
    <mergeCell ref="E88:E89"/>
    <mergeCell ref="A88:C89"/>
    <mergeCell ref="D88:D89"/>
    <mergeCell ref="G68:I68"/>
    <mergeCell ref="G69:H69"/>
    <mergeCell ref="F78:F79"/>
    <mergeCell ref="E78:E79"/>
    <mergeCell ref="A78:C79"/>
    <mergeCell ref="D78:D79"/>
    <mergeCell ref="G78:I78"/>
    <mergeCell ref="J78:L78"/>
    <mergeCell ref="J79:K79"/>
    <mergeCell ref="J88:L88"/>
    <mergeCell ref="J89:K89"/>
    <mergeCell ref="G89:H89"/>
    <mergeCell ref="G88:I88"/>
    <mergeCell ref="A8:C9"/>
    <mergeCell ref="D8:D9"/>
    <mergeCell ref="E8:E9"/>
    <mergeCell ref="F8:F9"/>
    <mergeCell ref="G8:I8"/>
    <mergeCell ref="J8:L8"/>
    <mergeCell ref="J9:K9"/>
    <mergeCell ref="G18:I18"/>
    <mergeCell ref="G19:H19"/>
    <mergeCell ref="G9:H9"/>
    <mergeCell ref="A11:I11"/>
    <mergeCell ref="D18:D19"/>
    <mergeCell ref="E18:E19"/>
    <mergeCell ref="F18:F19"/>
    <mergeCell ref="J18:L18"/>
    <mergeCell ref="J19:K19"/>
    <mergeCell ref="G28:I28"/>
    <mergeCell ref="G29:H29"/>
    <mergeCell ref="A18:C19"/>
    <mergeCell ref="A21:I21"/>
    <mergeCell ref="D28:D29"/>
    <mergeCell ref="E28:E29"/>
    <mergeCell ref="F28:F29"/>
    <mergeCell ref="J28:L28"/>
    <mergeCell ref="J29:K29"/>
    <mergeCell ref="G38:I38"/>
    <mergeCell ref="G39:H39"/>
    <mergeCell ref="G58:I58"/>
    <mergeCell ref="J58:L58"/>
    <mergeCell ref="J59:K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9.38"/>
  </cols>
  <sheetData>
    <row r="2">
      <c r="A2" s="36" t="s">
        <v>0</v>
      </c>
      <c r="B2" s="36" t="s">
        <v>1</v>
      </c>
      <c r="C2" s="36" t="s">
        <v>39</v>
      </c>
      <c r="D2" s="36" t="s">
        <v>2</v>
      </c>
      <c r="E2" s="37"/>
      <c r="F2" s="4" t="s">
        <v>3</v>
      </c>
      <c r="G2" s="5">
        <v>1.0</v>
      </c>
    </row>
    <row r="3">
      <c r="A3" s="5">
        <v>1.0</v>
      </c>
      <c r="B3" s="5">
        <v>1.0</v>
      </c>
      <c r="C3" s="5">
        <v>1.0</v>
      </c>
      <c r="D3" s="5">
        <v>1.0</v>
      </c>
      <c r="E3" s="38"/>
      <c r="F3" s="7" t="s">
        <v>4</v>
      </c>
      <c r="G3" s="5">
        <v>0.1</v>
      </c>
    </row>
    <row r="4">
      <c r="A4" s="5">
        <v>1.0</v>
      </c>
      <c r="B4" s="5">
        <v>1.0</v>
      </c>
      <c r="C4" s="5">
        <v>0.0</v>
      </c>
      <c r="D4" s="5">
        <v>-1.0</v>
      </c>
      <c r="E4" s="38"/>
    </row>
    <row r="5">
      <c r="A5" s="5">
        <v>1.0</v>
      </c>
      <c r="B5" s="5">
        <v>0.0</v>
      </c>
      <c r="C5" s="5">
        <v>1.0</v>
      </c>
      <c r="D5" s="5">
        <v>-1.0</v>
      </c>
      <c r="E5" s="38"/>
    </row>
    <row r="6">
      <c r="A6" s="5">
        <v>0.0</v>
      </c>
      <c r="B6" s="5">
        <v>1.0</v>
      </c>
      <c r="C6" s="5">
        <v>1.0</v>
      </c>
      <c r="D6" s="5">
        <v>-1.0</v>
      </c>
      <c r="E6" s="38"/>
    </row>
    <row r="8">
      <c r="A8" s="39" t="s">
        <v>5</v>
      </c>
      <c r="B8" s="9"/>
      <c r="C8" s="9"/>
      <c r="D8" s="10"/>
      <c r="E8" s="40" t="s">
        <v>6</v>
      </c>
      <c r="F8" s="41"/>
      <c r="G8" s="40" t="s">
        <v>7</v>
      </c>
      <c r="H8" s="42" t="s">
        <v>8</v>
      </c>
      <c r="I8" s="14"/>
      <c r="J8" s="14"/>
      <c r="K8" s="15"/>
      <c r="L8" s="42" t="s">
        <v>9</v>
      </c>
      <c r="M8" s="14"/>
      <c r="N8" s="14"/>
      <c r="O8" s="15"/>
    </row>
    <row r="9">
      <c r="A9" s="16"/>
      <c r="B9" s="17"/>
      <c r="C9" s="17"/>
      <c r="D9" s="18"/>
      <c r="E9" s="19"/>
      <c r="F9" s="19"/>
      <c r="G9" s="19"/>
      <c r="H9" s="43" t="s">
        <v>10</v>
      </c>
      <c r="I9" s="14"/>
      <c r="J9" s="15"/>
      <c r="K9" s="44" t="s">
        <v>11</v>
      </c>
      <c r="L9" s="42" t="s">
        <v>12</v>
      </c>
      <c r="M9" s="14"/>
      <c r="N9" s="15"/>
      <c r="O9" s="45" t="s">
        <v>40</v>
      </c>
    </row>
    <row r="10">
      <c r="A10" s="46" t="s">
        <v>0</v>
      </c>
      <c r="B10" s="46" t="s">
        <v>1</v>
      </c>
      <c r="C10" s="46" t="s">
        <v>39</v>
      </c>
      <c r="D10" s="46">
        <v>1.0</v>
      </c>
      <c r="E10" s="46" t="s">
        <v>2</v>
      </c>
      <c r="F10" s="46" t="s">
        <v>14</v>
      </c>
      <c r="G10" s="46" t="s">
        <v>15</v>
      </c>
      <c r="H10" s="47" t="s">
        <v>16</v>
      </c>
      <c r="I10" s="47" t="s">
        <v>17</v>
      </c>
      <c r="J10" s="47" t="s">
        <v>41</v>
      </c>
      <c r="K10" s="47" t="s">
        <v>18</v>
      </c>
      <c r="L10" s="46" t="s">
        <v>19</v>
      </c>
      <c r="M10" s="46" t="s">
        <v>20</v>
      </c>
      <c r="N10" s="46" t="s">
        <v>42</v>
      </c>
      <c r="O10" s="46" t="s">
        <v>21</v>
      </c>
    </row>
    <row r="11">
      <c r="A11" s="25" t="s">
        <v>22</v>
      </c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5">
        <v>0.0</v>
      </c>
      <c r="M11" s="5">
        <v>0.0</v>
      </c>
      <c r="N11" s="5">
        <v>0.0</v>
      </c>
      <c r="O11" s="5">
        <v>0.0</v>
      </c>
    </row>
    <row r="12">
      <c r="A12" s="5">
        <v>1.0</v>
      </c>
      <c r="B12" s="5">
        <v>1.0</v>
      </c>
      <c r="C12" s="5">
        <v>1.0</v>
      </c>
      <c r="D12" s="5">
        <v>1.0</v>
      </c>
      <c r="E12" s="5">
        <v>1.0</v>
      </c>
      <c r="F12" s="26">
        <f t="shared" ref="F12:F14" si="2">O11+(A12*L11)+(B12*M11)+(C12*N11)</f>
        <v>0</v>
      </c>
      <c r="G12" s="5">
        <f>IFS(F12 &gt; G3, 1,F12 &lt; -G3, -1, TRUE, 0)</f>
        <v>0</v>
      </c>
      <c r="H12" s="26">
        <f>G2*A12*E12</f>
        <v>1</v>
      </c>
      <c r="I12" s="26">
        <f>G2*B12*E12</f>
        <v>1</v>
      </c>
      <c r="J12" s="26">
        <f>G2*C12*E12</f>
        <v>1</v>
      </c>
      <c r="K12" s="26">
        <f>G2*E12</f>
        <v>1</v>
      </c>
      <c r="L12" s="26">
        <f t="shared" ref="L12:O12" si="1">L11+H12</f>
        <v>1</v>
      </c>
      <c r="M12" s="26">
        <f t="shared" si="1"/>
        <v>1</v>
      </c>
      <c r="N12" s="26">
        <f t="shared" si="1"/>
        <v>1</v>
      </c>
      <c r="O12" s="26">
        <f t="shared" si="1"/>
        <v>1</v>
      </c>
    </row>
    <row r="13">
      <c r="A13" s="5">
        <v>1.0</v>
      </c>
      <c r="B13" s="5">
        <v>1.0</v>
      </c>
      <c r="C13" s="5">
        <v>0.0</v>
      </c>
      <c r="D13" s="5">
        <v>1.0</v>
      </c>
      <c r="E13" s="5">
        <v>-1.0</v>
      </c>
      <c r="F13" s="26">
        <f t="shared" si="2"/>
        <v>3</v>
      </c>
      <c r="G13" s="5">
        <f>IFS(F13 &gt; G3, 1,F13 &lt; -G3, -1, TRUE, 0)</f>
        <v>1</v>
      </c>
      <c r="H13" s="26">
        <f>G2*A13*E13</f>
        <v>-1</v>
      </c>
      <c r="I13" s="26">
        <f>G2*B13*E13</f>
        <v>-1</v>
      </c>
      <c r="J13" s="26">
        <f>G2*C13*E13</f>
        <v>0</v>
      </c>
      <c r="K13" s="26">
        <f>G2*E13</f>
        <v>-1</v>
      </c>
      <c r="L13" s="26">
        <f t="shared" ref="L13:O13" si="3">L12+H13</f>
        <v>0</v>
      </c>
      <c r="M13" s="26">
        <f t="shared" si="3"/>
        <v>0</v>
      </c>
      <c r="N13" s="26">
        <f t="shared" si="3"/>
        <v>1</v>
      </c>
      <c r="O13" s="26">
        <f t="shared" si="3"/>
        <v>0</v>
      </c>
    </row>
    <row r="14">
      <c r="A14" s="5">
        <v>1.0</v>
      </c>
      <c r="B14" s="5">
        <v>0.0</v>
      </c>
      <c r="C14" s="5">
        <v>1.0</v>
      </c>
      <c r="D14" s="5">
        <v>1.0</v>
      </c>
      <c r="E14" s="5">
        <v>-1.0</v>
      </c>
      <c r="F14" s="26">
        <f t="shared" si="2"/>
        <v>1</v>
      </c>
      <c r="G14" s="5">
        <f>IFS(F14 &gt; G3, 1,F14 &lt; -G3, -1, TRUE, 0)</f>
        <v>1</v>
      </c>
      <c r="H14" s="26">
        <f>G2*A14*E14</f>
        <v>-1</v>
      </c>
      <c r="I14" s="26">
        <f>G2*B14*E14</f>
        <v>0</v>
      </c>
      <c r="J14" s="26">
        <f>G2*C14*E14</f>
        <v>-1</v>
      </c>
      <c r="K14" s="26">
        <f>G2*E14</f>
        <v>-1</v>
      </c>
      <c r="L14" s="26">
        <f t="shared" ref="L14:O14" si="4">L13+H14</f>
        <v>-1</v>
      </c>
      <c r="M14" s="26">
        <f t="shared" si="4"/>
        <v>0</v>
      </c>
      <c r="N14" s="26">
        <f t="shared" si="4"/>
        <v>0</v>
      </c>
      <c r="O14" s="26">
        <f t="shared" si="4"/>
        <v>-1</v>
      </c>
    </row>
    <row r="15">
      <c r="A15" s="5">
        <v>0.0</v>
      </c>
      <c r="B15" s="5">
        <v>1.0</v>
      </c>
      <c r="C15" s="5">
        <v>1.0</v>
      </c>
      <c r="D15" s="5">
        <v>1.0</v>
      </c>
      <c r="E15" s="5">
        <v>-1.0</v>
      </c>
      <c r="F15" s="26">
        <f>O14+(A15*L14)+(B15*M14)+(B15*M14)</f>
        <v>-1</v>
      </c>
      <c r="G15" s="5">
        <f>IFS(F15 &gt; G3, 1,F15 &lt; -G3, -1, TRUE, 0)</f>
        <v>-1</v>
      </c>
      <c r="H15" s="5">
        <v>0.0</v>
      </c>
      <c r="I15" s="5">
        <v>0.0</v>
      </c>
      <c r="J15" s="5">
        <v>0.0</v>
      </c>
      <c r="K15" s="5">
        <v>0.0</v>
      </c>
      <c r="L15" s="26">
        <f>L14+H15</f>
        <v>-1</v>
      </c>
      <c r="M15" s="26">
        <f t="shared" ref="M15:N15" si="5">M14</f>
        <v>0</v>
      </c>
      <c r="N15" s="26">
        <f t="shared" si="5"/>
        <v>0</v>
      </c>
      <c r="O15" s="26">
        <f>O14+K15</f>
        <v>-1</v>
      </c>
    </row>
    <row r="18">
      <c r="A18" s="39" t="s">
        <v>5</v>
      </c>
      <c r="B18" s="9"/>
      <c r="C18" s="9"/>
      <c r="D18" s="10"/>
      <c r="E18" s="40" t="s">
        <v>6</v>
      </c>
      <c r="F18" s="41"/>
      <c r="G18" s="40" t="s">
        <v>7</v>
      </c>
      <c r="H18" s="42" t="s">
        <v>8</v>
      </c>
      <c r="I18" s="14"/>
      <c r="J18" s="14"/>
      <c r="K18" s="15"/>
      <c r="L18" s="42" t="s">
        <v>9</v>
      </c>
      <c r="M18" s="14"/>
      <c r="N18" s="14"/>
      <c r="O18" s="15"/>
    </row>
    <row r="19">
      <c r="A19" s="16"/>
      <c r="B19" s="17"/>
      <c r="C19" s="17"/>
      <c r="D19" s="18"/>
      <c r="E19" s="19"/>
      <c r="F19" s="19"/>
      <c r="G19" s="19"/>
      <c r="H19" s="43" t="s">
        <v>10</v>
      </c>
      <c r="I19" s="14"/>
      <c r="J19" s="15"/>
      <c r="K19" s="44" t="s">
        <v>11</v>
      </c>
      <c r="L19" s="42" t="s">
        <v>12</v>
      </c>
      <c r="M19" s="14"/>
      <c r="N19" s="15"/>
      <c r="O19" s="45" t="s">
        <v>43</v>
      </c>
    </row>
    <row r="20">
      <c r="A20" s="46" t="s">
        <v>0</v>
      </c>
      <c r="B20" s="46" t="s">
        <v>1</v>
      </c>
      <c r="C20" s="46" t="s">
        <v>39</v>
      </c>
      <c r="D20" s="46">
        <v>1.0</v>
      </c>
      <c r="E20" s="46" t="s">
        <v>2</v>
      </c>
      <c r="F20" s="46" t="s">
        <v>14</v>
      </c>
      <c r="G20" s="46" t="s">
        <v>15</v>
      </c>
      <c r="H20" s="47" t="s">
        <v>16</v>
      </c>
      <c r="I20" s="47" t="s">
        <v>17</v>
      </c>
      <c r="J20" s="47" t="s">
        <v>41</v>
      </c>
      <c r="K20" s="47" t="s">
        <v>18</v>
      </c>
      <c r="L20" s="46" t="s">
        <v>19</v>
      </c>
      <c r="M20" s="46" t="s">
        <v>20</v>
      </c>
      <c r="N20" s="46" t="s">
        <v>42</v>
      </c>
      <c r="O20" s="46" t="s">
        <v>21</v>
      </c>
    </row>
    <row r="21">
      <c r="A21" s="25" t="s">
        <v>24</v>
      </c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5">
        <f t="shared" ref="L21:O21" si="6">L15</f>
        <v>-1</v>
      </c>
      <c r="M21" s="5">
        <f t="shared" si="6"/>
        <v>0</v>
      </c>
      <c r="N21" s="5">
        <f t="shared" si="6"/>
        <v>0</v>
      </c>
      <c r="O21" s="5">
        <f t="shared" si="6"/>
        <v>-1</v>
      </c>
    </row>
    <row r="22">
      <c r="A22" s="5">
        <v>1.0</v>
      </c>
      <c r="B22" s="5">
        <v>1.0</v>
      </c>
      <c r="C22" s="5">
        <v>1.0</v>
      </c>
      <c r="D22" s="5">
        <v>1.0</v>
      </c>
      <c r="E22" s="5">
        <v>1.0</v>
      </c>
      <c r="F22" s="26">
        <f t="shared" ref="F22:F24" si="8">O21+(A22*L21)+(B22*M21)+(C22*N21)</f>
        <v>-2</v>
      </c>
      <c r="G22" s="5">
        <f>IFS(F22 &gt; G3, 1,F22 &lt; -G3, -1, TRUE, 0)</f>
        <v>-1</v>
      </c>
      <c r="H22" s="26">
        <f>G2*A22*E22</f>
        <v>1</v>
      </c>
      <c r="I22" s="26">
        <f>G2*B22*E22</f>
        <v>1</v>
      </c>
      <c r="J22" s="26">
        <f>G2*C22*E22</f>
        <v>1</v>
      </c>
      <c r="K22" s="26">
        <f>G2*E22</f>
        <v>1</v>
      </c>
      <c r="L22" s="26">
        <f t="shared" ref="L22:O22" si="7">L21+H22</f>
        <v>0</v>
      </c>
      <c r="M22" s="26">
        <f t="shared" si="7"/>
        <v>1</v>
      </c>
      <c r="N22" s="26">
        <f t="shared" si="7"/>
        <v>1</v>
      </c>
      <c r="O22" s="48">
        <f t="shared" si="7"/>
        <v>0</v>
      </c>
    </row>
    <row r="23">
      <c r="A23" s="5">
        <v>1.0</v>
      </c>
      <c r="B23" s="5">
        <v>1.0</v>
      </c>
      <c r="C23" s="5">
        <v>0.0</v>
      </c>
      <c r="D23" s="5">
        <v>1.0</v>
      </c>
      <c r="E23" s="5">
        <v>-1.0</v>
      </c>
      <c r="F23" s="26">
        <f t="shared" si="8"/>
        <v>1</v>
      </c>
      <c r="G23" s="5">
        <f>IFS(F23 &gt; G3, 1,F23 &lt; -G3, -1, TRUE, 0)</f>
        <v>1</v>
      </c>
      <c r="H23" s="26">
        <f>G2*A23*E23</f>
        <v>-1</v>
      </c>
      <c r="I23" s="26">
        <f>G2*B23*E23</f>
        <v>-1</v>
      </c>
      <c r="J23" s="26">
        <f>G2*C23*E23</f>
        <v>0</v>
      </c>
      <c r="K23" s="26">
        <f>G2*E23</f>
        <v>-1</v>
      </c>
      <c r="L23" s="26">
        <f t="shared" ref="L23:O23" si="9">L22+H23</f>
        <v>-1</v>
      </c>
      <c r="M23" s="26">
        <f t="shared" si="9"/>
        <v>0</v>
      </c>
      <c r="N23" s="26">
        <f t="shared" si="9"/>
        <v>1</v>
      </c>
      <c r="O23" s="26">
        <f t="shared" si="9"/>
        <v>-1</v>
      </c>
    </row>
    <row r="24">
      <c r="A24" s="5">
        <v>1.0</v>
      </c>
      <c r="B24" s="5">
        <v>0.0</v>
      </c>
      <c r="C24" s="5">
        <v>1.0</v>
      </c>
      <c r="D24" s="5">
        <v>1.0</v>
      </c>
      <c r="E24" s="5">
        <v>-1.0</v>
      </c>
      <c r="F24" s="26">
        <f t="shared" si="8"/>
        <v>-1</v>
      </c>
      <c r="G24" s="5">
        <f>IFS(F24 &gt; G3, 1,F24 &lt; -G3, -1, TRUE, 0)</f>
        <v>-1</v>
      </c>
      <c r="H24" s="5">
        <v>0.0</v>
      </c>
      <c r="I24" s="5">
        <v>0.0</v>
      </c>
      <c r="J24" s="5">
        <v>0.0</v>
      </c>
      <c r="K24" s="5">
        <v>0.0</v>
      </c>
      <c r="L24" s="26">
        <f t="shared" ref="L24:O24" si="10">L23</f>
        <v>-1</v>
      </c>
      <c r="M24" s="26">
        <f t="shared" si="10"/>
        <v>0</v>
      </c>
      <c r="N24" s="26">
        <f t="shared" si="10"/>
        <v>1</v>
      </c>
      <c r="O24" s="26">
        <f t="shared" si="10"/>
        <v>-1</v>
      </c>
    </row>
    <row r="25">
      <c r="A25" s="5">
        <v>0.0</v>
      </c>
      <c r="B25" s="5">
        <v>1.0</v>
      </c>
      <c r="C25" s="5">
        <v>1.0</v>
      </c>
      <c r="D25" s="5">
        <v>1.0</v>
      </c>
      <c r="E25" s="5">
        <v>-1.0</v>
      </c>
      <c r="F25" s="26">
        <f>O24+(A25*L24)+(B25*M24)+(B25*M24)</f>
        <v>-1</v>
      </c>
      <c r="G25" s="5">
        <f>IFS(F25 &gt; G3, 1,F25 &lt; -G3, -1, TRUE, 0)</f>
        <v>-1</v>
      </c>
      <c r="H25" s="5">
        <v>0.0</v>
      </c>
      <c r="I25" s="5">
        <v>0.0</v>
      </c>
      <c r="J25" s="5">
        <v>0.0</v>
      </c>
      <c r="K25" s="5">
        <v>0.0</v>
      </c>
      <c r="L25" s="26">
        <f t="shared" ref="L25:O25" si="11">L24</f>
        <v>-1</v>
      </c>
      <c r="M25" s="26">
        <f t="shared" si="11"/>
        <v>0</v>
      </c>
      <c r="N25" s="26">
        <f t="shared" si="11"/>
        <v>1</v>
      </c>
      <c r="O25" s="26">
        <f t="shared" si="11"/>
        <v>-1</v>
      </c>
    </row>
    <row r="28">
      <c r="A28" s="39" t="s">
        <v>5</v>
      </c>
      <c r="B28" s="9"/>
      <c r="C28" s="9"/>
      <c r="D28" s="10"/>
      <c r="E28" s="40" t="s">
        <v>6</v>
      </c>
      <c r="F28" s="41"/>
      <c r="G28" s="40" t="s">
        <v>7</v>
      </c>
      <c r="H28" s="42" t="s">
        <v>8</v>
      </c>
      <c r="I28" s="14"/>
      <c r="J28" s="14"/>
      <c r="K28" s="15"/>
      <c r="L28" s="42" t="s">
        <v>9</v>
      </c>
      <c r="M28" s="14"/>
      <c r="N28" s="14"/>
      <c r="O28" s="15"/>
    </row>
    <row r="29">
      <c r="A29" s="16"/>
      <c r="B29" s="17"/>
      <c r="C29" s="17"/>
      <c r="D29" s="18"/>
      <c r="E29" s="19"/>
      <c r="F29" s="19"/>
      <c r="G29" s="19"/>
      <c r="H29" s="43" t="s">
        <v>10</v>
      </c>
      <c r="I29" s="14"/>
      <c r="J29" s="15"/>
      <c r="K29" s="44" t="s">
        <v>11</v>
      </c>
      <c r="L29" s="42" t="s">
        <v>12</v>
      </c>
      <c r="M29" s="14"/>
      <c r="N29" s="15"/>
      <c r="O29" s="45" t="s">
        <v>44</v>
      </c>
    </row>
    <row r="30">
      <c r="A30" s="46" t="s">
        <v>0</v>
      </c>
      <c r="B30" s="46" t="s">
        <v>1</v>
      </c>
      <c r="C30" s="46" t="s">
        <v>39</v>
      </c>
      <c r="D30" s="46">
        <v>1.0</v>
      </c>
      <c r="E30" s="46" t="s">
        <v>2</v>
      </c>
      <c r="F30" s="46" t="s">
        <v>14</v>
      </c>
      <c r="G30" s="46" t="s">
        <v>15</v>
      </c>
      <c r="H30" s="47" t="s">
        <v>16</v>
      </c>
      <c r="I30" s="47" t="s">
        <v>17</v>
      </c>
      <c r="J30" s="47" t="s">
        <v>41</v>
      </c>
      <c r="K30" s="47" t="s">
        <v>18</v>
      </c>
      <c r="L30" s="46" t="s">
        <v>19</v>
      </c>
      <c r="M30" s="46" t="s">
        <v>20</v>
      </c>
      <c r="N30" s="46" t="s">
        <v>42</v>
      </c>
      <c r="O30" s="46" t="s">
        <v>21</v>
      </c>
    </row>
    <row r="31">
      <c r="A31" s="25" t="s">
        <v>45</v>
      </c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5">
        <f t="shared" ref="L31:O31" si="12">L25</f>
        <v>-1</v>
      </c>
      <c r="M31" s="5">
        <f t="shared" si="12"/>
        <v>0</v>
      </c>
      <c r="N31" s="5">
        <f t="shared" si="12"/>
        <v>1</v>
      </c>
      <c r="O31" s="5">
        <f t="shared" si="12"/>
        <v>-1</v>
      </c>
    </row>
    <row r="32">
      <c r="A32" s="5">
        <v>1.0</v>
      </c>
      <c r="B32" s="5">
        <v>1.0</v>
      </c>
      <c r="C32" s="5">
        <v>1.0</v>
      </c>
      <c r="D32" s="5">
        <v>1.0</v>
      </c>
      <c r="E32" s="5">
        <v>1.0</v>
      </c>
      <c r="F32" s="26">
        <f t="shared" ref="F32:F34" si="14">O31+(A32*L31)+(B32*M31)+(C32*N31)</f>
        <v>-1</v>
      </c>
      <c r="G32" s="5">
        <f>IFS(F32 &gt; G3, 1,F32 &lt; -G3, -1, TRUE, 0)</f>
        <v>-1</v>
      </c>
      <c r="H32" s="26">
        <f>G2*A32*E32</f>
        <v>1</v>
      </c>
      <c r="I32" s="26">
        <f>G2*B32*E32</f>
        <v>1</v>
      </c>
      <c r="J32" s="26">
        <f>G2*C32*E32</f>
        <v>1</v>
      </c>
      <c r="K32" s="26">
        <f>G2*E32</f>
        <v>1</v>
      </c>
      <c r="L32" s="26">
        <f t="shared" ref="L32:O32" si="13">L31+H32</f>
        <v>0</v>
      </c>
      <c r="M32" s="26">
        <f t="shared" si="13"/>
        <v>1</v>
      </c>
      <c r="N32" s="26">
        <f t="shared" si="13"/>
        <v>2</v>
      </c>
      <c r="O32" s="26">
        <f t="shared" si="13"/>
        <v>0</v>
      </c>
    </row>
    <row r="33">
      <c r="A33" s="5">
        <v>1.0</v>
      </c>
      <c r="B33" s="5">
        <v>1.0</v>
      </c>
      <c r="C33" s="5">
        <v>0.0</v>
      </c>
      <c r="D33" s="5">
        <v>1.0</v>
      </c>
      <c r="E33" s="5">
        <v>-1.0</v>
      </c>
      <c r="F33" s="26">
        <f t="shared" si="14"/>
        <v>1</v>
      </c>
      <c r="G33" s="5">
        <f>IFS(F33 &gt; G3, 1,F33 &lt; -G3, -1, TRUE, 0)</f>
        <v>1</v>
      </c>
      <c r="H33" s="26">
        <f>G2*A33*E33</f>
        <v>-1</v>
      </c>
      <c r="I33" s="26">
        <f>G2*B33*E33</f>
        <v>-1</v>
      </c>
      <c r="J33" s="26">
        <f>G2*C33*E33</f>
        <v>0</v>
      </c>
      <c r="K33" s="26">
        <f>G2*E33</f>
        <v>-1</v>
      </c>
      <c r="L33" s="26">
        <f t="shared" ref="L33:O33" si="15">L32+H33</f>
        <v>-1</v>
      </c>
      <c r="M33" s="26">
        <f t="shared" si="15"/>
        <v>0</v>
      </c>
      <c r="N33" s="26">
        <f t="shared" si="15"/>
        <v>2</v>
      </c>
      <c r="O33" s="26">
        <f t="shared" si="15"/>
        <v>-1</v>
      </c>
    </row>
    <row r="34">
      <c r="A34" s="5">
        <v>1.0</v>
      </c>
      <c r="B34" s="5">
        <v>0.0</v>
      </c>
      <c r="C34" s="5">
        <v>1.0</v>
      </c>
      <c r="D34" s="5">
        <v>1.0</v>
      </c>
      <c r="E34" s="5">
        <v>-1.0</v>
      </c>
      <c r="F34" s="26">
        <f t="shared" si="14"/>
        <v>0</v>
      </c>
      <c r="G34" s="5">
        <f>IFS(F34 &gt; G3, 1,F34 &lt; -G3, -1, TRUE, 0)</f>
        <v>0</v>
      </c>
      <c r="H34" s="26">
        <f>G2*A34*E34</f>
        <v>-1</v>
      </c>
      <c r="I34" s="26">
        <f>G2*B34*E34</f>
        <v>0</v>
      </c>
      <c r="J34" s="26">
        <f>G2*C34*E34</f>
        <v>-1</v>
      </c>
      <c r="K34" s="26">
        <f>G2*E34</f>
        <v>-1</v>
      </c>
      <c r="L34" s="26">
        <f t="shared" ref="L34:O34" si="16">L33+H34</f>
        <v>-2</v>
      </c>
      <c r="M34" s="26">
        <f t="shared" si="16"/>
        <v>0</v>
      </c>
      <c r="N34" s="26">
        <f t="shared" si="16"/>
        <v>1</v>
      </c>
      <c r="O34" s="26">
        <f t="shared" si="16"/>
        <v>-2</v>
      </c>
    </row>
    <row r="35">
      <c r="A35" s="5">
        <v>0.0</v>
      </c>
      <c r="B35" s="5">
        <v>1.0</v>
      </c>
      <c r="C35" s="5">
        <v>1.0</v>
      </c>
      <c r="D35" s="5">
        <v>1.0</v>
      </c>
      <c r="E35" s="5">
        <v>-1.0</v>
      </c>
      <c r="F35" s="26">
        <f>O34+(A35*L34)+(B35*M34)+(B35*M34)</f>
        <v>-2</v>
      </c>
      <c r="G35" s="5">
        <f>IFS(F35 &gt; G3, 1,F35 &lt;= -G3, -1, TRUE, 0)</f>
        <v>-1</v>
      </c>
      <c r="H35" s="5">
        <v>0.0</v>
      </c>
      <c r="I35" s="5">
        <v>0.0</v>
      </c>
      <c r="J35" s="49">
        <v>0.0</v>
      </c>
      <c r="K35" s="49">
        <v>0.0</v>
      </c>
      <c r="L35" s="26">
        <f t="shared" ref="L35:O35" si="17">L34</f>
        <v>-2</v>
      </c>
      <c r="M35" s="26">
        <f t="shared" si="17"/>
        <v>0</v>
      </c>
      <c r="N35" s="26">
        <f t="shared" si="17"/>
        <v>1</v>
      </c>
      <c r="O35" s="26">
        <f t="shared" si="17"/>
        <v>-2</v>
      </c>
    </row>
    <row r="36">
      <c r="J36" s="50"/>
      <c r="K36" s="50"/>
    </row>
    <row r="38">
      <c r="A38" s="39" t="s">
        <v>5</v>
      </c>
      <c r="B38" s="9"/>
      <c r="C38" s="9"/>
      <c r="D38" s="10"/>
      <c r="E38" s="40" t="s">
        <v>6</v>
      </c>
      <c r="F38" s="41"/>
      <c r="G38" s="40" t="s">
        <v>7</v>
      </c>
      <c r="H38" s="42" t="s">
        <v>8</v>
      </c>
      <c r="I38" s="14"/>
      <c r="J38" s="14"/>
      <c r="K38" s="15"/>
      <c r="L38" s="42" t="s">
        <v>9</v>
      </c>
      <c r="M38" s="14"/>
      <c r="N38" s="14"/>
      <c r="O38" s="15"/>
    </row>
    <row r="39">
      <c r="A39" s="16"/>
      <c r="B39" s="17"/>
      <c r="C39" s="17"/>
      <c r="D39" s="18"/>
      <c r="E39" s="19"/>
      <c r="F39" s="19"/>
      <c r="G39" s="19"/>
      <c r="H39" s="43" t="s">
        <v>10</v>
      </c>
      <c r="I39" s="14"/>
      <c r="J39" s="15"/>
      <c r="K39" s="44" t="s">
        <v>11</v>
      </c>
      <c r="L39" s="42" t="s">
        <v>12</v>
      </c>
      <c r="M39" s="14"/>
      <c r="N39" s="15"/>
      <c r="O39" s="45" t="s">
        <v>46</v>
      </c>
    </row>
    <row r="40">
      <c r="A40" s="46" t="s">
        <v>0</v>
      </c>
      <c r="B40" s="46" t="s">
        <v>1</v>
      </c>
      <c r="C40" s="46" t="s">
        <v>39</v>
      </c>
      <c r="D40" s="46">
        <v>1.0</v>
      </c>
      <c r="E40" s="46" t="s">
        <v>2</v>
      </c>
      <c r="F40" s="46" t="s">
        <v>14</v>
      </c>
      <c r="G40" s="46" t="s">
        <v>15</v>
      </c>
      <c r="H40" s="47" t="s">
        <v>16</v>
      </c>
      <c r="I40" s="47" t="s">
        <v>17</v>
      </c>
      <c r="J40" s="47" t="s">
        <v>41</v>
      </c>
      <c r="K40" s="47" t="s">
        <v>18</v>
      </c>
      <c r="L40" s="46" t="s">
        <v>19</v>
      </c>
      <c r="M40" s="46" t="s">
        <v>20</v>
      </c>
      <c r="N40" s="46" t="s">
        <v>42</v>
      </c>
      <c r="O40" s="46" t="s">
        <v>21</v>
      </c>
    </row>
    <row r="41">
      <c r="A41" s="25" t="s">
        <v>28</v>
      </c>
      <c r="B41" s="14"/>
      <c r="C41" s="14"/>
      <c r="D41" s="14"/>
      <c r="E41" s="14"/>
      <c r="F41" s="14"/>
      <c r="G41" s="14"/>
      <c r="H41" s="14"/>
      <c r="I41" s="14"/>
      <c r="J41" s="14"/>
      <c r="K41" s="15"/>
      <c r="L41" s="5">
        <f t="shared" ref="L41:O41" si="18">L35</f>
        <v>-2</v>
      </c>
      <c r="M41" s="5">
        <f t="shared" si="18"/>
        <v>0</v>
      </c>
      <c r="N41" s="5">
        <f t="shared" si="18"/>
        <v>1</v>
      </c>
      <c r="O41" s="5">
        <f t="shared" si="18"/>
        <v>-2</v>
      </c>
    </row>
    <row r="42">
      <c r="A42" s="5">
        <v>1.0</v>
      </c>
      <c r="B42" s="5">
        <v>1.0</v>
      </c>
      <c r="C42" s="5">
        <v>1.0</v>
      </c>
      <c r="D42" s="5">
        <v>1.0</v>
      </c>
      <c r="E42" s="5">
        <v>1.0</v>
      </c>
      <c r="F42" s="26">
        <f t="shared" ref="F42:F44" si="20">O41+(A42*L41)+(B42*M41)+(C42*N41)</f>
        <v>-3</v>
      </c>
      <c r="G42" s="5">
        <f>IFS(F42 &gt; G3, 1,F42 &lt;= -G3, -1, TRUE, 0)</f>
        <v>-1</v>
      </c>
      <c r="H42" s="26">
        <f>G2*A42*E42</f>
        <v>1</v>
      </c>
      <c r="I42" s="26">
        <f>G2*B42*E42</f>
        <v>1</v>
      </c>
      <c r="J42" s="26">
        <f>G2*C42*E42</f>
        <v>1</v>
      </c>
      <c r="K42" s="26">
        <f>G2*E42</f>
        <v>1</v>
      </c>
      <c r="L42" s="26">
        <f t="shared" ref="L42:O42" si="19">L41+H42</f>
        <v>-1</v>
      </c>
      <c r="M42" s="26">
        <f t="shared" si="19"/>
        <v>1</v>
      </c>
      <c r="N42" s="26">
        <f t="shared" si="19"/>
        <v>2</v>
      </c>
      <c r="O42" s="26">
        <f t="shared" si="19"/>
        <v>-1</v>
      </c>
    </row>
    <row r="43">
      <c r="A43" s="5">
        <v>1.0</v>
      </c>
      <c r="B43" s="5">
        <v>1.0</v>
      </c>
      <c r="C43" s="5">
        <v>0.0</v>
      </c>
      <c r="D43" s="5">
        <v>1.0</v>
      </c>
      <c r="E43" s="5">
        <v>-1.0</v>
      </c>
      <c r="F43" s="26">
        <f t="shared" si="20"/>
        <v>-1</v>
      </c>
      <c r="G43" s="5">
        <f>IFS(F43 &gt; G3, 1,F43 &lt;= -G3, -1, TRUE, 0)</f>
        <v>-1</v>
      </c>
      <c r="H43" s="5">
        <v>0.0</v>
      </c>
      <c r="I43" s="5">
        <v>0.0</v>
      </c>
      <c r="J43" s="5">
        <v>0.0</v>
      </c>
      <c r="K43" s="5">
        <v>0.0</v>
      </c>
      <c r="L43" s="26">
        <f t="shared" ref="L43:O43" si="21">L42</f>
        <v>-1</v>
      </c>
      <c r="M43" s="26">
        <f t="shared" si="21"/>
        <v>1</v>
      </c>
      <c r="N43" s="26">
        <f t="shared" si="21"/>
        <v>2</v>
      </c>
      <c r="O43" s="26">
        <f t="shared" si="21"/>
        <v>-1</v>
      </c>
    </row>
    <row r="44">
      <c r="A44" s="5">
        <v>1.0</v>
      </c>
      <c r="B44" s="5">
        <v>0.0</v>
      </c>
      <c r="C44" s="5">
        <v>1.0</v>
      </c>
      <c r="D44" s="5">
        <v>1.0</v>
      </c>
      <c r="E44" s="5">
        <v>-1.0</v>
      </c>
      <c r="F44" s="26">
        <f t="shared" si="20"/>
        <v>0</v>
      </c>
      <c r="G44" s="5">
        <f>IFS(F44 &gt; G3, 1,F44 &lt;= -G3, -1, TRUE, 0)</f>
        <v>0</v>
      </c>
      <c r="H44" s="26">
        <f>G2*A44*E44</f>
        <v>-1</v>
      </c>
      <c r="I44" s="26">
        <f>G2*B44*E44</f>
        <v>0</v>
      </c>
      <c r="J44" s="26">
        <f>G2*C44*E44</f>
        <v>-1</v>
      </c>
      <c r="K44" s="26">
        <f>G2*E44</f>
        <v>-1</v>
      </c>
      <c r="L44" s="26">
        <f t="shared" ref="L44:O44" si="22">L43+H44</f>
        <v>-2</v>
      </c>
      <c r="M44" s="26">
        <f t="shared" si="22"/>
        <v>1</v>
      </c>
      <c r="N44" s="26">
        <f t="shared" si="22"/>
        <v>1</v>
      </c>
      <c r="O44" s="26">
        <f t="shared" si="22"/>
        <v>-2</v>
      </c>
    </row>
    <row r="45">
      <c r="A45" s="5">
        <v>0.0</v>
      </c>
      <c r="B45" s="5">
        <v>1.0</v>
      </c>
      <c r="C45" s="5">
        <v>1.0</v>
      </c>
      <c r="D45" s="5">
        <v>1.0</v>
      </c>
      <c r="E45" s="5">
        <v>-1.0</v>
      </c>
      <c r="F45" s="26">
        <f>O44+(A45*L44)+(B45*M44)+(B45*M44)</f>
        <v>0</v>
      </c>
      <c r="G45" s="5">
        <f>IFS(F45 &gt; G3, 1,F45 &lt;= -G3, -1, TRUE, 0)</f>
        <v>0</v>
      </c>
      <c r="H45" s="26">
        <f>G2*A45*E45</f>
        <v>0</v>
      </c>
      <c r="I45" s="26">
        <f>G2*B45*E45</f>
        <v>-1</v>
      </c>
      <c r="J45" s="26">
        <f>G2*C45*E45</f>
        <v>-1</v>
      </c>
      <c r="K45" s="26">
        <f>G2*E45</f>
        <v>-1</v>
      </c>
      <c r="L45" s="26">
        <f t="shared" ref="L45:O45" si="23">L44+H45</f>
        <v>-2</v>
      </c>
      <c r="M45" s="26">
        <f t="shared" si="23"/>
        <v>0</v>
      </c>
      <c r="N45" s="26">
        <f t="shared" si="23"/>
        <v>0</v>
      </c>
      <c r="O45" s="26">
        <f t="shared" si="23"/>
        <v>-3</v>
      </c>
    </row>
    <row r="48">
      <c r="A48" s="39" t="s">
        <v>5</v>
      </c>
      <c r="B48" s="9"/>
      <c r="C48" s="9"/>
      <c r="D48" s="10"/>
      <c r="E48" s="40" t="s">
        <v>6</v>
      </c>
      <c r="F48" s="41"/>
      <c r="G48" s="40" t="s">
        <v>7</v>
      </c>
      <c r="H48" s="42" t="s">
        <v>8</v>
      </c>
      <c r="I48" s="14"/>
      <c r="J48" s="14"/>
      <c r="K48" s="15"/>
      <c r="L48" s="42" t="s">
        <v>9</v>
      </c>
      <c r="M48" s="14"/>
      <c r="N48" s="14"/>
      <c r="O48" s="15"/>
    </row>
    <row r="49">
      <c r="A49" s="16"/>
      <c r="B49" s="17"/>
      <c r="C49" s="17"/>
      <c r="D49" s="18"/>
      <c r="E49" s="19"/>
      <c r="F49" s="19"/>
      <c r="G49" s="19"/>
      <c r="H49" s="43" t="s">
        <v>10</v>
      </c>
      <c r="I49" s="14"/>
      <c r="J49" s="15"/>
      <c r="K49" s="44" t="s">
        <v>11</v>
      </c>
      <c r="L49" s="42" t="s">
        <v>12</v>
      </c>
      <c r="M49" s="14"/>
      <c r="N49" s="15"/>
      <c r="O49" s="45" t="s">
        <v>47</v>
      </c>
    </row>
    <row r="50">
      <c r="A50" s="46" t="s">
        <v>0</v>
      </c>
      <c r="B50" s="46" t="s">
        <v>1</v>
      </c>
      <c r="C50" s="46" t="s">
        <v>39</v>
      </c>
      <c r="D50" s="46">
        <v>1.0</v>
      </c>
      <c r="E50" s="46" t="s">
        <v>2</v>
      </c>
      <c r="F50" s="46" t="s">
        <v>14</v>
      </c>
      <c r="G50" s="46" t="s">
        <v>15</v>
      </c>
      <c r="H50" s="47" t="s">
        <v>16</v>
      </c>
      <c r="I50" s="47" t="s">
        <v>17</v>
      </c>
      <c r="J50" s="47" t="s">
        <v>41</v>
      </c>
      <c r="K50" s="47" t="s">
        <v>18</v>
      </c>
      <c r="L50" s="46" t="s">
        <v>19</v>
      </c>
      <c r="M50" s="46" t="s">
        <v>20</v>
      </c>
      <c r="N50" s="46" t="s">
        <v>42</v>
      </c>
      <c r="O50" s="46" t="s">
        <v>21</v>
      </c>
    </row>
    <row r="51">
      <c r="A51" s="25" t="s">
        <v>30</v>
      </c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5">
        <f t="shared" ref="L51:O51" si="24">L45</f>
        <v>-2</v>
      </c>
      <c r="M51" s="5">
        <f t="shared" si="24"/>
        <v>0</v>
      </c>
      <c r="N51" s="5">
        <f t="shared" si="24"/>
        <v>0</v>
      </c>
      <c r="O51" s="5">
        <f t="shared" si="24"/>
        <v>-3</v>
      </c>
    </row>
    <row r="52">
      <c r="A52" s="5">
        <v>1.0</v>
      </c>
      <c r="B52" s="5">
        <v>1.0</v>
      </c>
      <c r="C52" s="5">
        <v>1.0</v>
      </c>
      <c r="D52" s="5">
        <v>1.0</v>
      </c>
      <c r="E52" s="5">
        <v>1.0</v>
      </c>
      <c r="F52" s="26">
        <f t="shared" ref="F52:F54" si="26">O51+(A52*L51)+(B52*M51)+(C52*N51)</f>
        <v>-5</v>
      </c>
      <c r="G52" s="5">
        <f>IFS(F52 &gt; G3, 1,F52 &lt;= -G3, -1, TRUE, 0)</f>
        <v>-1</v>
      </c>
      <c r="H52" s="26">
        <f>G2*A52*E52</f>
        <v>1</v>
      </c>
      <c r="I52" s="26">
        <f>G2*B52*E52</f>
        <v>1</v>
      </c>
      <c r="J52" s="26">
        <f>G2*C52*E52</f>
        <v>1</v>
      </c>
      <c r="K52" s="26">
        <f>G2*E52</f>
        <v>1</v>
      </c>
      <c r="L52" s="26">
        <f t="shared" ref="L52:O52" si="25">L51+H52</f>
        <v>-1</v>
      </c>
      <c r="M52" s="26">
        <f t="shared" si="25"/>
        <v>1</v>
      </c>
      <c r="N52" s="26">
        <f t="shared" si="25"/>
        <v>1</v>
      </c>
      <c r="O52" s="26">
        <f t="shared" si="25"/>
        <v>-2</v>
      </c>
    </row>
    <row r="53">
      <c r="A53" s="5">
        <v>1.0</v>
      </c>
      <c r="B53" s="5">
        <v>1.0</v>
      </c>
      <c r="C53" s="5">
        <v>0.0</v>
      </c>
      <c r="D53" s="5">
        <v>1.0</v>
      </c>
      <c r="E53" s="5">
        <v>-1.0</v>
      </c>
      <c r="F53" s="26">
        <f t="shared" si="26"/>
        <v>-2</v>
      </c>
      <c r="G53" s="5">
        <f>IFS(F53 &gt; G3, 1,F53 &lt;= -G3, -1, TRUE, 0)</f>
        <v>-1</v>
      </c>
      <c r="H53" s="5">
        <v>0.0</v>
      </c>
      <c r="I53" s="5">
        <v>0.0</v>
      </c>
      <c r="J53" s="5">
        <v>0.0</v>
      </c>
      <c r="K53" s="5">
        <v>0.0</v>
      </c>
      <c r="L53" s="26">
        <f t="shared" ref="L53:O53" si="27">L52</f>
        <v>-1</v>
      </c>
      <c r="M53" s="26">
        <f t="shared" si="27"/>
        <v>1</v>
      </c>
      <c r="N53" s="26">
        <f t="shared" si="27"/>
        <v>1</v>
      </c>
      <c r="O53" s="26">
        <f t="shared" si="27"/>
        <v>-2</v>
      </c>
    </row>
    <row r="54">
      <c r="A54" s="5">
        <v>1.0</v>
      </c>
      <c r="B54" s="5">
        <v>0.0</v>
      </c>
      <c r="C54" s="5">
        <v>1.0</v>
      </c>
      <c r="D54" s="5">
        <v>1.0</v>
      </c>
      <c r="E54" s="5">
        <v>-1.0</v>
      </c>
      <c r="F54" s="26">
        <f t="shared" si="26"/>
        <v>-2</v>
      </c>
      <c r="G54" s="5">
        <f>IFS(F54 &gt; G3, 1,F54 &lt;= -G3, -1, TRUE, 0)</f>
        <v>-1</v>
      </c>
      <c r="H54" s="5">
        <v>0.0</v>
      </c>
      <c r="I54" s="5">
        <v>0.0</v>
      </c>
      <c r="J54" s="5">
        <v>0.0</v>
      </c>
      <c r="K54" s="5">
        <v>0.0</v>
      </c>
      <c r="L54" s="26">
        <f t="shared" ref="L54:O54" si="28">L53</f>
        <v>-1</v>
      </c>
      <c r="M54" s="26">
        <f t="shared" si="28"/>
        <v>1</v>
      </c>
      <c r="N54" s="26">
        <f t="shared" si="28"/>
        <v>1</v>
      </c>
      <c r="O54" s="26">
        <f t="shared" si="28"/>
        <v>-2</v>
      </c>
    </row>
    <row r="55">
      <c r="A55" s="5">
        <v>0.0</v>
      </c>
      <c r="B55" s="5">
        <v>1.0</v>
      </c>
      <c r="C55" s="5">
        <v>1.0</v>
      </c>
      <c r="D55" s="5">
        <v>1.0</v>
      </c>
      <c r="E55" s="5">
        <v>-1.0</v>
      </c>
      <c r="F55" s="26">
        <f>O54+(A55*L54)+(B55*M54)+(B55*M54)</f>
        <v>0</v>
      </c>
      <c r="G55" s="5">
        <f>IFS(F55 &gt; G3, 1,F55 &lt;= -G3, -1, TRUE, 0)</f>
        <v>0</v>
      </c>
      <c r="H55" s="26">
        <f>G2*A55*E55</f>
        <v>0</v>
      </c>
      <c r="I55" s="26">
        <f>G2*B55*E55</f>
        <v>-1</v>
      </c>
      <c r="J55" s="26">
        <f>G2*C55*E55</f>
        <v>-1</v>
      </c>
      <c r="K55" s="26">
        <f>G2*E55</f>
        <v>-1</v>
      </c>
      <c r="L55" s="26">
        <f t="shared" ref="L55:O55" si="29">L54+H55</f>
        <v>-1</v>
      </c>
      <c r="M55" s="26">
        <f t="shared" si="29"/>
        <v>0</v>
      </c>
      <c r="N55" s="26">
        <f t="shared" si="29"/>
        <v>0</v>
      </c>
      <c r="O55" s="26">
        <f t="shared" si="29"/>
        <v>-3</v>
      </c>
    </row>
    <row r="58">
      <c r="A58" s="39" t="s">
        <v>5</v>
      </c>
      <c r="B58" s="9"/>
      <c r="C58" s="9"/>
      <c r="D58" s="10"/>
      <c r="E58" s="40" t="s">
        <v>6</v>
      </c>
      <c r="F58" s="41"/>
      <c r="G58" s="40" t="s">
        <v>7</v>
      </c>
      <c r="H58" s="42" t="s">
        <v>8</v>
      </c>
      <c r="I58" s="14"/>
      <c r="J58" s="14"/>
      <c r="K58" s="15"/>
      <c r="L58" s="42" t="s">
        <v>9</v>
      </c>
      <c r="M58" s="14"/>
      <c r="N58" s="14"/>
      <c r="O58" s="15"/>
    </row>
    <row r="59">
      <c r="A59" s="16"/>
      <c r="B59" s="17"/>
      <c r="C59" s="17"/>
      <c r="D59" s="18"/>
      <c r="E59" s="19"/>
      <c r="F59" s="19"/>
      <c r="G59" s="19"/>
      <c r="H59" s="43" t="s">
        <v>10</v>
      </c>
      <c r="I59" s="14"/>
      <c r="J59" s="15"/>
      <c r="K59" s="44" t="s">
        <v>11</v>
      </c>
      <c r="L59" s="42" t="s">
        <v>12</v>
      </c>
      <c r="M59" s="14"/>
      <c r="N59" s="15"/>
      <c r="O59" s="45" t="s">
        <v>48</v>
      </c>
    </row>
    <row r="60">
      <c r="A60" s="46" t="s">
        <v>0</v>
      </c>
      <c r="B60" s="46" t="s">
        <v>1</v>
      </c>
      <c r="C60" s="46" t="s">
        <v>39</v>
      </c>
      <c r="D60" s="46">
        <v>1.0</v>
      </c>
      <c r="E60" s="46" t="s">
        <v>2</v>
      </c>
      <c r="F60" s="46" t="s">
        <v>14</v>
      </c>
      <c r="G60" s="46" t="s">
        <v>15</v>
      </c>
      <c r="H60" s="47" t="s">
        <v>16</v>
      </c>
      <c r="I60" s="47" t="s">
        <v>17</v>
      </c>
      <c r="J60" s="47" t="s">
        <v>41</v>
      </c>
      <c r="K60" s="47" t="s">
        <v>18</v>
      </c>
      <c r="L60" s="46" t="s">
        <v>19</v>
      </c>
      <c r="M60" s="46" t="s">
        <v>20</v>
      </c>
      <c r="N60" s="46" t="s">
        <v>42</v>
      </c>
      <c r="O60" s="46" t="s">
        <v>21</v>
      </c>
    </row>
    <row r="61">
      <c r="A61" s="25" t="s">
        <v>32</v>
      </c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5">
        <f t="shared" ref="L61:O61" si="30">L55</f>
        <v>-1</v>
      </c>
      <c r="M61" s="5">
        <f t="shared" si="30"/>
        <v>0</v>
      </c>
      <c r="N61" s="5">
        <f t="shared" si="30"/>
        <v>0</v>
      </c>
      <c r="O61" s="5">
        <f t="shared" si="30"/>
        <v>-3</v>
      </c>
    </row>
    <row r="62">
      <c r="A62" s="5">
        <v>1.0</v>
      </c>
      <c r="B62" s="5">
        <v>1.0</v>
      </c>
      <c r="C62" s="5">
        <v>1.0</v>
      </c>
      <c r="D62" s="5">
        <v>1.0</v>
      </c>
      <c r="E62" s="5">
        <v>1.0</v>
      </c>
      <c r="F62" s="26">
        <f t="shared" ref="F62:F64" si="32">O61+(A62*L61)+(B62*M61)+(C62*N61)</f>
        <v>-4</v>
      </c>
      <c r="G62" s="5">
        <f>IFS(F62 &gt; G3, 1,F62 &lt;= -G3, -1, TRUE, 0)</f>
        <v>-1</v>
      </c>
      <c r="H62" s="26">
        <f>G2*A62*E62</f>
        <v>1</v>
      </c>
      <c r="I62" s="26">
        <f>G2*B62*E62</f>
        <v>1</v>
      </c>
      <c r="J62" s="26">
        <f>G2*C62*E62</f>
        <v>1</v>
      </c>
      <c r="K62" s="26">
        <f>G2*E62</f>
        <v>1</v>
      </c>
      <c r="L62" s="26">
        <f t="shared" ref="L62:O62" si="31">L61+H62</f>
        <v>0</v>
      </c>
      <c r="M62" s="26">
        <f t="shared" si="31"/>
        <v>1</v>
      </c>
      <c r="N62" s="26">
        <f t="shared" si="31"/>
        <v>1</v>
      </c>
      <c r="O62" s="26">
        <f t="shared" si="31"/>
        <v>-2</v>
      </c>
    </row>
    <row r="63">
      <c r="A63" s="5">
        <v>1.0</v>
      </c>
      <c r="B63" s="5">
        <v>1.0</v>
      </c>
      <c r="C63" s="5">
        <v>0.0</v>
      </c>
      <c r="D63" s="5">
        <v>1.0</v>
      </c>
      <c r="E63" s="5">
        <v>-1.0</v>
      </c>
      <c r="F63" s="26">
        <f t="shared" si="32"/>
        <v>-1</v>
      </c>
      <c r="G63" s="5">
        <f>IFS(F63 &gt; G3, 1,F63 &lt;= -G3, -1, TRUE, 0)</f>
        <v>-1</v>
      </c>
      <c r="H63" s="5">
        <v>0.0</v>
      </c>
      <c r="I63" s="5">
        <v>0.0</v>
      </c>
      <c r="J63" s="5">
        <v>0.0</v>
      </c>
      <c r="K63" s="5">
        <v>0.0</v>
      </c>
      <c r="L63" s="26">
        <f t="shared" ref="L63:O63" si="33">L62</f>
        <v>0</v>
      </c>
      <c r="M63" s="26">
        <f t="shared" si="33"/>
        <v>1</v>
      </c>
      <c r="N63" s="26">
        <f t="shared" si="33"/>
        <v>1</v>
      </c>
      <c r="O63" s="26">
        <f t="shared" si="33"/>
        <v>-2</v>
      </c>
    </row>
    <row r="64">
      <c r="A64" s="5">
        <v>1.0</v>
      </c>
      <c r="B64" s="5">
        <v>0.0</v>
      </c>
      <c r="C64" s="5">
        <v>1.0</v>
      </c>
      <c r="D64" s="5">
        <v>1.0</v>
      </c>
      <c r="E64" s="5">
        <v>-1.0</v>
      </c>
      <c r="F64" s="26">
        <f t="shared" si="32"/>
        <v>-1</v>
      </c>
      <c r="G64" s="5">
        <f>IFS(F64 &gt; G3, 1,F64 &lt;= -G3, -1, TRUE, 0)</f>
        <v>-1</v>
      </c>
      <c r="H64" s="5">
        <v>0.0</v>
      </c>
      <c r="I64" s="5">
        <v>0.0</v>
      </c>
      <c r="J64" s="5">
        <v>0.0</v>
      </c>
      <c r="K64" s="5">
        <v>0.0</v>
      </c>
      <c r="L64" s="26">
        <f t="shared" ref="L64:O64" si="34">L63</f>
        <v>0</v>
      </c>
      <c r="M64" s="26">
        <f t="shared" si="34"/>
        <v>1</v>
      </c>
      <c r="N64" s="26">
        <f t="shared" si="34"/>
        <v>1</v>
      </c>
      <c r="O64" s="26">
        <f t="shared" si="34"/>
        <v>-2</v>
      </c>
    </row>
    <row r="65">
      <c r="A65" s="5">
        <v>0.0</v>
      </c>
      <c r="B65" s="5">
        <v>1.0</v>
      </c>
      <c r="C65" s="5">
        <v>1.0</v>
      </c>
      <c r="D65" s="5">
        <v>1.0</v>
      </c>
      <c r="E65" s="5">
        <v>-1.0</v>
      </c>
      <c r="F65" s="26">
        <f>O64+(A65*L64)+(B65*M64)+(B65*M64)</f>
        <v>0</v>
      </c>
      <c r="G65" s="5">
        <f>IFS(F65 &gt; G3, 1,F65 &lt;= -G3, -1, TRUE, 0)</f>
        <v>0</v>
      </c>
      <c r="H65" s="26">
        <f>G2*A65*E65</f>
        <v>0</v>
      </c>
      <c r="I65" s="26">
        <f>G2*B65*E65</f>
        <v>-1</v>
      </c>
      <c r="J65" s="26">
        <f>G2*C65*E65</f>
        <v>-1</v>
      </c>
      <c r="K65" s="26">
        <f>G2*E65</f>
        <v>-1</v>
      </c>
      <c r="L65" s="26">
        <f t="shared" ref="L65:O65" si="35">L64+H65</f>
        <v>0</v>
      </c>
      <c r="M65" s="26">
        <f t="shared" si="35"/>
        <v>0</v>
      </c>
      <c r="N65" s="26">
        <f t="shared" si="35"/>
        <v>0</v>
      </c>
      <c r="O65" s="26">
        <f t="shared" si="35"/>
        <v>-3</v>
      </c>
    </row>
    <row r="68">
      <c r="A68" s="39" t="s">
        <v>5</v>
      </c>
      <c r="B68" s="9"/>
      <c r="C68" s="9"/>
      <c r="D68" s="10"/>
      <c r="E68" s="40" t="s">
        <v>6</v>
      </c>
      <c r="F68" s="41"/>
      <c r="G68" s="40" t="s">
        <v>7</v>
      </c>
      <c r="H68" s="42" t="s">
        <v>8</v>
      </c>
      <c r="I68" s="14"/>
      <c r="J68" s="14"/>
      <c r="K68" s="15"/>
      <c r="L68" s="42" t="s">
        <v>9</v>
      </c>
      <c r="M68" s="14"/>
      <c r="N68" s="14"/>
      <c r="O68" s="15"/>
    </row>
    <row r="69">
      <c r="A69" s="16"/>
      <c r="B69" s="17"/>
      <c r="C69" s="17"/>
      <c r="D69" s="18"/>
      <c r="E69" s="19"/>
      <c r="F69" s="19"/>
      <c r="G69" s="19"/>
      <c r="H69" s="43" t="s">
        <v>10</v>
      </c>
      <c r="I69" s="14"/>
      <c r="J69" s="15"/>
      <c r="K69" s="44" t="s">
        <v>11</v>
      </c>
      <c r="L69" s="42" t="s">
        <v>12</v>
      </c>
      <c r="M69" s="14"/>
      <c r="N69" s="15"/>
      <c r="O69" s="45" t="s">
        <v>49</v>
      </c>
    </row>
    <row r="70">
      <c r="A70" s="46" t="s">
        <v>0</v>
      </c>
      <c r="B70" s="46" t="s">
        <v>1</v>
      </c>
      <c r="C70" s="46" t="s">
        <v>39</v>
      </c>
      <c r="D70" s="46">
        <v>1.0</v>
      </c>
      <c r="E70" s="46" t="s">
        <v>2</v>
      </c>
      <c r="F70" s="46" t="s">
        <v>14</v>
      </c>
      <c r="G70" s="46" t="s">
        <v>15</v>
      </c>
      <c r="H70" s="47" t="s">
        <v>16</v>
      </c>
      <c r="I70" s="47" t="s">
        <v>17</v>
      </c>
      <c r="J70" s="47" t="s">
        <v>41</v>
      </c>
      <c r="K70" s="47" t="s">
        <v>18</v>
      </c>
      <c r="L70" s="46" t="s">
        <v>19</v>
      </c>
      <c r="M70" s="46" t="s">
        <v>20</v>
      </c>
      <c r="N70" s="46" t="s">
        <v>42</v>
      </c>
      <c r="O70" s="46" t="s">
        <v>21</v>
      </c>
    </row>
    <row r="71">
      <c r="A71" s="25" t="s">
        <v>34</v>
      </c>
      <c r="B71" s="14"/>
      <c r="C71" s="14"/>
      <c r="D71" s="14"/>
      <c r="E71" s="14"/>
      <c r="F71" s="14"/>
      <c r="G71" s="14"/>
      <c r="H71" s="14"/>
      <c r="I71" s="14"/>
      <c r="J71" s="14"/>
      <c r="K71" s="15"/>
      <c r="L71" s="5">
        <f t="shared" ref="L71:O71" si="36">L65</f>
        <v>0</v>
      </c>
      <c r="M71" s="5">
        <f t="shared" si="36"/>
        <v>0</v>
      </c>
      <c r="N71" s="5">
        <f t="shared" si="36"/>
        <v>0</v>
      </c>
      <c r="O71" s="5">
        <f t="shared" si="36"/>
        <v>-3</v>
      </c>
    </row>
    <row r="72">
      <c r="A72" s="5">
        <v>1.0</v>
      </c>
      <c r="B72" s="5">
        <v>1.0</v>
      </c>
      <c r="C72" s="5">
        <v>1.0</v>
      </c>
      <c r="D72" s="5">
        <v>1.0</v>
      </c>
      <c r="E72" s="5">
        <v>1.0</v>
      </c>
      <c r="F72" s="26">
        <f t="shared" ref="F72:F74" si="38">O71+(A72*L71)+(B72*M71)+(C72*N71)</f>
        <v>-3</v>
      </c>
      <c r="G72" s="5">
        <f>IFS(F72 &gt; G3, 1,F72 &lt;= -G3, -1, TRUE, 0)</f>
        <v>-1</v>
      </c>
      <c r="H72" s="26">
        <f>G2*A72*E72</f>
        <v>1</v>
      </c>
      <c r="I72" s="26">
        <f>G2*B72*E72</f>
        <v>1</v>
      </c>
      <c r="J72" s="26">
        <f>G2*C72*E72</f>
        <v>1</v>
      </c>
      <c r="K72" s="26">
        <f>G2*E72</f>
        <v>1</v>
      </c>
      <c r="L72" s="26">
        <f t="shared" ref="L72:O72" si="37">L71+H72</f>
        <v>1</v>
      </c>
      <c r="M72" s="26">
        <f t="shared" si="37"/>
        <v>1</v>
      </c>
      <c r="N72" s="26">
        <f t="shared" si="37"/>
        <v>1</v>
      </c>
      <c r="O72" s="26">
        <f t="shared" si="37"/>
        <v>-2</v>
      </c>
    </row>
    <row r="73">
      <c r="A73" s="5">
        <v>1.0</v>
      </c>
      <c r="B73" s="5">
        <v>1.0</v>
      </c>
      <c r="C73" s="5">
        <v>0.0</v>
      </c>
      <c r="D73" s="5">
        <v>1.0</v>
      </c>
      <c r="E73" s="5">
        <v>-1.0</v>
      </c>
      <c r="F73" s="26">
        <f t="shared" si="38"/>
        <v>0</v>
      </c>
      <c r="G73" s="5">
        <f>IFS(F73 &gt; G3, 1,F73 &lt;= -G3, -1, TRUE, 0)</f>
        <v>0</v>
      </c>
      <c r="H73" s="26">
        <f>G2*A73*E73</f>
        <v>-1</v>
      </c>
      <c r="I73" s="26">
        <f>G2*B73*E73</f>
        <v>-1</v>
      </c>
      <c r="J73" s="26">
        <f>G2*C73*E73</f>
        <v>0</v>
      </c>
      <c r="K73" s="26">
        <f>G2*E73</f>
        <v>-1</v>
      </c>
      <c r="L73" s="26">
        <f t="shared" ref="L73:O73" si="39">L72+H73</f>
        <v>0</v>
      </c>
      <c r="M73" s="26">
        <f t="shared" si="39"/>
        <v>0</v>
      </c>
      <c r="N73" s="26">
        <f t="shared" si="39"/>
        <v>1</v>
      </c>
      <c r="O73" s="26">
        <f t="shared" si="39"/>
        <v>-3</v>
      </c>
    </row>
    <row r="74">
      <c r="A74" s="5">
        <v>1.0</v>
      </c>
      <c r="B74" s="5">
        <v>0.0</v>
      </c>
      <c r="C74" s="5">
        <v>1.0</v>
      </c>
      <c r="D74" s="5">
        <v>1.0</v>
      </c>
      <c r="E74" s="5">
        <v>-1.0</v>
      </c>
      <c r="F74" s="26">
        <f t="shared" si="38"/>
        <v>-2</v>
      </c>
      <c r="G74" s="5">
        <f>IFS(F74 &gt; G3, 1,F74 &lt;= -G3, -1, TRUE, 0)</f>
        <v>-1</v>
      </c>
      <c r="H74" s="5">
        <v>0.0</v>
      </c>
      <c r="I74" s="5">
        <v>0.0</v>
      </c>
      <c r="J74" s="5">
        <v>0.0</v>
      </c>
      <c r="K74" s="5">
        <v>0.0</v>
      </c>
      <c r="L74" s="26">
        <f t="shared" ref="L74:O74" si="40">L73</f>
        <v>0</v>
      </c>
      <c r="M74" s="26">
        <f t="shared" si="40"/>
        <v>0</v>
      </c>
      <c r="N74" s="26">
        <f t="shared" si="40"/>
        <v>1</v>
      </c>
      <c r="O74" s="26">
        <f t="shared" si="40"/>
        <v>-3</v>
      </c>
    </row>
    <row r="75">
      <c r="A75" s="5">
        <v>0.0</v>
      </c>
      <c r="B75" s="5">
        <v>1.0</v>
      </c>
      <c r="C75" s="5">
        <v>1.0</v>
      </c>
      <c r="D75" s="5">
        <v>1.0</v>
      </c>
      <c r="E75" s="5">
        <v>-1.0</v>
      </c>
      <c r="F75" s="26">
        <f>O74+(A75*L74)+(B75*M74)+(B75*M74)</f>
        <v>-3</v>
      </c>
      <c r="G75" s="5">
        <f>IFS(F75 &gt; G3, 1,F75 &lt;= -G3, -1, TRUE, 0)</f>
        <v>-1</v>
      </c>
      <c r="H75" s="5">
        <v>0.0</v>
      </c>
      <c r="I75" s="5">
        <v>0.0</v>
      </c>
      <c r="J75" s="5">
        <v>0.0</v>
      </c>
      <c r="K75" s="5">
        <v>0.0</v>
      </c>
      <c r="L75" s="26">
        <f t="shared" ref="L75:O75" si="41">L74</f>
        <v>0</v>
      </c>
      <c r="M75" s="26">
        <f t="shared" si="41"/>
        <v>0</v>
      </c>
      <c r="N75" s="26">
        <f t="shared" si="41"/>
        <v>1</v>
      </c>
      <c r="O75" s="26">
        <f t="shared" si="41"/>
        <v>-3</v>
      </c>
    </row>
    <row r="78">
      <c r="A78" s="39" t="s">
        <v>5</v>
      </c>
      <c r="B78" s="9"/>
      <c r="C78" s="9"/>
      <c r="D78" s="10"/>
      <c r="E78" s="40" t="s">
        <v>6</v>
      </c>
      <c r="F78" s="41"/>
      <c r="G78" s="40" t="s">
        <v>7</v>
      </c>
      <c r="H78" s="42" t="s">
        <v>8</v>
      </c>
      <c r="I78" s="14"/>
      <c r="J78" s="14"/>
      <c r="K78" s="15"/>
      <c r="L78" s="42" t="s">
        <v>9</v>
      </c>
      <c r="M78" s="14"/>
      <c r="N78" s="14"/>
      <c r="O78" s="15"/>
    </row>
    <row r="79">
      <c r="A79" s="16"/>
      <c r="B79" s="17"/>
      <c r="C79" s="17"/>
      <c r="D79" s="18"/>
      <c r="E79" s="19"/>
      <c r="F79" s="19"/>
      <c r="G79" s="19"/>
      <c r="H79" s="43" t="s">
        <v>10</v>
      </c>
      <c r="I79" s="14"/>
      <c r="J79" s="15"/>
      <c r="K79" s="44" t="s">
        <v>11</v>
      </c>
      <c r="L79" s="42" t="s">
        <v>12</v>
      </c>
      <c r="M79" s="14"/>
      <c r="N79" s="15"/>
      <c r="O79" s="45" t="s">
        <v>50</v>
      </c>
    </row>
    <row r="80">
      <c r="A80" s="46" t="s">
        <v>0</v>
      </c>
      <c r="B80" s="46" t="s">
        <v>1</v>
      </c>
      <c r="C80" s="46" t="s">
        <v>39</v>
      </c>
      <c r="D80" s="46">
        <v>1.0</v>
      </c>
      <c r="E80" s="46" t="s">
        <v>2</v>
      </c>
      <c r="F80" s="46" t="s">
        <v>14</v>
      </c>
      <c r="G80" s="46" t="s">
        <v>15</v>
      </c>
      <c r="H80" s="47" t="s">
        <v>16</v>
      </c>
      <c r="I80" s="47" t="s">
        <v>17</v>
      </c>
      <c r="J80" s="47" t="s">
        <v>41</v>
      </c>
      <c r="K80" s="47" t="s">
        <v>18</v>
      </c>
      <c r="L80" s="46" t="s">
        <v>19</v>
      </c>
      <c r="M80" s="46" t="s">
        <v>20</v>
      </c>
      <c r="N80" s="46" t="s">
        <v>42</v>
      </c>
      <c r="O80" s="46" t="s">
        <v>21</v>
      </c>
    </row>
    <row r="81">
      <c r="A81" s="25" t="s">
        <v>36</v>
      </c>
      <c r="B81" s="14"/>
      <c r="C81" s="14"/>
      <c r="D81" s="14"/>
      <c r="E81" s="14"/>
      <c r="F81" s="14"/>
      <c r="G81" s="14"/>
      <c r="H81" s="14"/>
      <c r="I81" s="14"/>
      <c r="J81" s="14"/>
      <c r="K81" s="15"/>
      <c r="L81" s="5">
        <f t="shared" ref="L81:O81" si="42">L75</f>
        <v>0</v>
      </c>
      <c r="M81" s="5">
        <f t="shared" si="42"/>
        <v>0</v>
      </c>
      <c r="N81" s="5">
        <f t="shared" si="42"/>
        <v>1</v>
      </c>
      <c r="O81" s="5">
        <f t="shared" si="42"/>
        <v>-3</v>
      </c>
    </row>
    <row r="82">
      <c r="A82" s="5">
        <v>1.0</v>
      </c>
      <c r="B82" s="5">
        <v>1.0</v>
      </c>
      <c r="C82" s="5">
        <v>1.0</v>
      </c>
      <c r="D82" s="5">
        <v>1.0</v>
      </c>
      <c r="E82" s="5">
        <v>1.0</v>
      </c>
      <c r="F82" s="26">
        <f t="shared" ref="F82:F84" si="44">O81+(A82*L81)+(B82*M81)+(C82*N81)</f>
        <v>-2</v>
      </c>
      <c r="G82" s="5">
        <f>IFS(F82 &gt; G3, 1,F82 &lt;= -G3, -1, TRUE, 0)</f>
        <v>-1</v>
      </c>
      <c r="H82" s="26">
        <f>G2*A82*E82</f>
        <v>1</v>
      </c>
      <c r="I82" s="26">
        <f>G2*B82*E82</f>
        <v>1</v>
      </c>
      <c r="J82" s="26">
        <f>G2*C82*E82</f>
        <v>1</v>
      </c>
      <c r="K82" s="26">
        <f>G2*E82</f>
        <v>1</v>
      </c>
      <c r="L82" s="26">
        <f t="shared" ref="L82:O82" si="43">L81+H82</f>
        <v>1</v>
      </c>
      <c r="M82" s="26">
        <f t="shared" si="43"/>
        <v>1</v>
      </c>
      <c r="N82" s="26">
        <f t="shared" si="43"/>
        <v>2</v>
      </c>
      <c r="O82" s="26">
        <f t="shared" si="43"/>
        <v>-2</v>
      </c>
    </row>
    <row r="83">
      <c r="A83" s="5">
        <v>1.0</v>
      </c>
      <c r="B83" s="5">
        <v>1.0</v>
      </c>
      <c r="C83" s="5">
        <v>0.0</v>
      </c>
      <c r="D83" s="5">
        <v>1.0</v>
      </c>
      <c r="E83" s="5">
        <v>-1.0</v>
      </c>
      <c r="F83" s="26">
        <f t="shared" si="44"/>
        <v>0</v>
      </c>
      <c r="G83" s="5">
        <f>IFS(F83 &gt; G3, 1,F83 &lt;= -G3, -1, TRUE, 0)</f>
        <v>0</v>
      </c>
      <c r="H83" s="26">
        <f>G2*A83*E83</f>
        <v>-1</v>
      </c>
      <c r="I83" s="26">
        <f>G2*B83*E83</f>
        <v>-1</v>
      </c>
      <c r="J83" s="26">
        <f>G2*C83*E83</f>
        <v>0</v>
      </c>
      <c r="K83" s="26">
        <f>G2*E83</f>
        <v>-1</v>
      </c>
      <c r="L83" s="26">
        <f t="shared" ref="L83:O83" si="45">L82+H83</f>
        <v>0</v>
      </c>
      <c r="M83" s="26">
        <f t="shared" si="45"/>
        <v>0</v>
      </c>
      <c r="N83" s="26">
        <f t="shared" si="45"/>
        <v>2</v>
      </c>
      <c r="O83" s="26">
        <f t="shared" si="45"/>
        <v>-3</v>
      </c>
    </row>
    <row r="84">
      <c r="A84" s="5">
        <v>1.0</v>
      </c>
      <c r="B84" s="5">
        <v>0.0</v>
      </c>
      <c r="C84" s="5">
        <v>1.0</v>
      </c>
      <c r="D84" s="5">
        <v>1.0</v>
      </c>
      <c r="E84" s="5">
        <v>-1.0</v>
      </c>
      <c r="F84" s="26">
        <f t="shared" si="44"/>
        <v>-1</v>
      </c>
      <c r="G84" s="5">
        <f>IFS(F84 &gt; G3, 1,F84 &lt;= -G3, -1, TRUE, 0)</f>
        <v>-1</v>
      </c>
      <c r="H84" s="5">
        <v>0.0</v>
      </c>
      <c r="I84" s="5">
        <v>0.0</v>
      </c>
      <c r="J84" s="5">
        <v>0.0</v>
      </c>
      <c r="K84" s="5">
        <v>0.0</v>
      </c>
      <c r="L84" s="26">
        <f t="shared" ref="L84:O84" si="46">L83</f>
        <v>0</v>
      </c>
      <c r="M84" s="26">
        <f t="shared" si="46"/>
        <v>0</v>
      </c>
      <c r="N84" s="26">
        <f t="shared" si="46"/>
        <v>2</v>
      </c>
      <c r="O84" s="26">
        <f t="shared" si="46"/>
        <v>-3</v>
      </c>
    </row>
    <row r="85">
      <c r="A85" s="5">
        <v>0.0</v>
      </c>
      <c r="B85" s="5">
        <v>1.0</v>
      </c>
      <c r="C85" s="5">
        <v>1.0</v>
      </c>
      <c r="D85" s="5">
        <v>1.0</v>
      </c>
      <c r="E85" s="5">
        <v>-1.0</v>
      </c>
      <c r="F85" s="26">
        <f>O84+(A85*L84)+(B85*M84)+(B85*M84)</f>
        <v>-3</v>
      </c>
      <c r="G85" s="5">
        <f>IFS(F85 &gt; G3, 1,F85 &lt;= -G3, -1, TRUE, 0)</f>
        <v>-1</v>
      </c>
      <c r="H85" s="5">
        <v>0.0</v>
      </c>
      <c r="I85" s="5">
        <v>0.0</v>
      </c>
      <c r="J85" s="5">
        <v>0.0</v>
      </c>
      <c r="K85" s="5">
        <v>0.0</v>
      </c>
      <c r="L85" s="26">
        <f t="shared" ref="L85:O85" si="47">L84</f>
        <v>0</v>
      </c>
      <c r="M85" s="26">
        <f t="shared" si="47"/>
        <v>0</v>
      </c>
      <c r="N85" s="26">
        <f t="shared" si="47"/>
        <v>2</v>
      </c>
      <c r="O85" s="26">
        <f t="shared" si="47"/>
        <v>-3</v>
      </c>
    </row>
    <row r="88">
      <c r="A88" s="39" t="s">
        <v>5</v>
      </c>
      <c r="B88" s="9"/>
      <c r="C88" s="9"/>
      <c r="D88" s="10"/>
      <c r="E88" s="40" t="s">
        <v>6</v>
      </c>
      <c r="F88" s="41"/>
      <c r="G88" s="40" t="s">
        <v>7</v>
      </c>
      <c r="H88" s="42" t="s">
        <v>8</v>
      </c>
      <c r="I88" s="14"/>
      <c r="J88" s="14"/>
      <c r="K88" s="15"/>
      <c r="L88" s="42" t="s">
        <v>9</v>
      </c>
      <c r="M88" s="14"/>
      <c r="N88" s="14"/>
      <c r="O88" s="15"/>
    </row>
    <row r="89">
      <c r="A89" s="16"/>
      <c r="B89" s="17"/>
      <c r="C89" s="17"/>
      <c r="D89" s="18"/>
      <c r="E89" s="19"/>
      <c r="F89" s="19"/>
      <c r="G89" s="19"/>
      <c r="H89" s="43" t="s">
        <v>10</v>
      </c>
      <c r="I89" s="14"/>
      <c r="J89" s="15"/>
      <c r="K89" s="44" t="s">
        <v>11</v>
      </c>
      <c r="L89" s="42" t="s">
        <v>12</v>
      </c>
      <c r="M89" s="14"/>
      <c r="N89" s="15"/>
      <c r="O89" s="45" t="s">
        <v>51</v>
      </c>
    </row>
    <row r="90">
      <c r="A90" s="46" t="s">
        <v>0</v>
      </c>
      <c r="B90" s="46" t="s">
        <v>1</v>
      </c>
      <c r="C90" s="46" t="s">
        <v>39</v>
      </c>
      <c r="D90" s="46">
        <v>1.0</v>
      </c>
      <c r="E90" s="46" t="s">
        <v>2</v>
      </c>
      <c r="F90" s="46" t="s">
        <v>14</v>
      </c>
      <c r="G90" s="46" t="s">
        <v>15</v>
      </c>
      <c r="H90" s="47" t="s">
        <v>16</v>
      </c>
      <c r="I90" s="47" t="s">
        <v>17</v>
      </c>
      <c r="J90" s="47" t="s">
        <v>41</v>
      </c>
      <c r="K90" s="47" t="s">
        <v>18</v>
      </c>
      <c r="L90" s="46" t="s">
        <v>19</v>
      </c>
      <c r="M90" s="46" t="s">
        <v>20</v>
      </c>
      <c r="N90" s="46" t="s">
        <v>42</v>
      </c>
      <c r="O90" s="46" t="s">
        <v>21</v>
      </c>
    </row>
    <row r="91">
      <c r="A91" s="25" t="s">
        <v>38</v>
      </c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5">
        <f t="shared" ref="L91:O91" si="48">L85</f>
        <v>0</v>
      </c>
      <c r="M91" s="5">
        <f t="shared" si="48"/>
        <v>0</v>
      </c>
      <c r="N91" s="5">
        <f t="shared" si="48"/>
        <v>2</v>
      </c>
      <c r="O91" s="5">
        <f t="shared" si="48"/>
        <v>-3</v>
      </c>
    </row>
    <row r="92">
      <c r="A92" s="5">
        <v>1.0</v>
      </c>
      <c r="B92" s="5">
        <v>1.0</v>
      </c>
      <c r="C92" s="5">
        <v>1.0</v>
      </c>
      <c r="D92" s="5">
        <v>1.0</v>
      </c>
      <c r="E92" s="5">
        <v>1.0</v>
      </c>
      <c r="F92" s="26">
        <f t="shared" ref="F92:F94" si="50">O91+(A92*L91)+(B92*M91)+(C92*N91)</f>
        <v>-1</v>
      </c>
      <c r="G92" s="5">
        <f>IFS(F92 &gt; G3, 1,F92 &lt;= -G3, -1, TRUE, 0)</f>
        <v>-1</v>
      </c>
      <c r="H92" s="26">
        <f>G2*A92*E92</f>
        <v>1</v>
      </c>
      <c r="I92" s="26">
        <f>G2*B92*E92</f>
        <v>1</v>
      </c>
      <c r="J92" s="26">
        <f>G2*C92*E92</f>
        <v>1</v>
      </c>
      <c r="K92" s="26">
        <f>G2*E92</f>
        <v>1</v>
      </c>
      <c r="L92" s="26">
        <f t="shared" ref="L92:O92" si="49">L91+H92</f>
        <v>1</v>
      </c>
      <c r="M92" s="26">
        <f t="shared" si="49"/>
        <v>1</v>
      </c>
      <c r="N92" s="26">
        <f t="shared" si="49"/>
        <v>3</v>
      </c>
      <c r="O92" s="26">
        <f t="shared" si="49"/>
        <v>-2</v>
      </c>
    </row>
    <row r="93">
      <c r="A93" s="5">
        <v>1.0</v>
      </c>
      <c r="B93" s="5">
        <v>1.0</v>
      </c>
      <c r="C93" s="5">
        <v>0.0</v>
      </c>
      <c r="D93" s="5">
        <v>1.0</v>
      </c>
      <c r="E93" s="5">
        <v>-1.0</v>
      </c>
      <c r="F93" s="26">
        <f t="shared" si="50"/>
        <v>0</v>
      </c>
      <c r="G93" s="5">
        <f>IFS(F93 &gt; G3, 1,F93 &lt;= -G3, -1, TRUE, 0)</f>
        <v>0</v>
      </c>
      <c r="H93" s="26">
        <f>G2*A93*E93</f>
        <v>-1</v>
      </c>
      <c r="I93" s="26">
        <f>G2*B93*E93</f>
        <v>-1</v>
      </c>
      <c r="J93" s="26">
        <f>G2*C93*E93</f>
        <v>0</v>
      </c>
      <c r="K93" s="26">
        <f>G2*E93</f>
        <v>-1</v>
      </c>
      <c r="L93" s="26">
        <f t="shared" ref="L93:O93" si="51">L92+H93</f>
        <v>0</v>
      </c>
      <c r="M93" s="26">
        <f t="shared" si="51"/>
        <v>0</v>
      </c>
      <c r="N93" s="26">
        <f t="shared" si="51"/>
        <v>3</v>
      </c>
      <c r="O93" s="26">
        <f t="shared" si="51"/>
        <v>-3</v>
      </c>
    </row>
    <row r="94">
      <c r="A94" s="5">
        <v>1.0</v>
      </c>
      <c r="B94" s="5">
        <v>0.0</v>
      </c>
      <c r="C94" s="5">
        <v>1.0</v>
      </c>
      <c r="D94" s="5">
        <v>1.0</v>
      </c>
      <c r="E94" s="5">
        <v>-1.0</v>
      </c>
      <c r="F94" s="26">
        <f t="shared" si="50"/>
        <v>0</v>
      </c>
      <c r="G94" s="5">
        <f>IFS(F94 &gt; G3, 1,F94 &lt;= -G3, -1, TRUE, 0)</f>
        <v>0</v>
      </c>
      <c r="H94" s="26">
        <f>G2*A94*E94</f>
        <v>-1</v>
      </c>
      <c r="I94" s="26">
        <f>G2*B94*E94</f>
        <v>0</v>
      </c>
      <c r="J94" s="26">
        <f>G2*C94*E94</f>
        <v>-1</v>
      </c>
      <c r="K94" s="26">
        <f>G2*E94</f>
        <v>-1</v>
      </c>
      <c r="L94" s="26">
        <f t="shared" ref="L94:O94" si="52">L93+H94</f>
        <v>-1</v>
      </c>
      <c r="M94" s="26">
        <f t="shared" si="52"/>
        <v>0</v>
      </c>
      <c r="N94" s="26">
        <f t="shared" si="52"/>
        <v>2</v>
      </c>
      <c r="O94" s="26">
        <f t="shared" si="52"/>
        <v>-4</v>
      </c>
    </row>
    <row r="95">
      <c r="A95" s="5">
        <v>0.0</v>
      </c>
      <c r="B95" s="5">
        <v>1.0</v>
      </c>
      <c r="C95" s="5">
        <v>1.0</v>
      </c>
      <c r="D95" s="5">
        <v>1.0</v>
      </c>
      <c r="E95" s="5">
        <v>-1.0</v>
      </c>
      <c r="F95" s="26">
        <f>O94+(A95*L94)+(B95*M94)+(B95*M94)</f>
        <v>-4</v>
      </c>
      <c r="G95" s="5">
        <f>IFS(F95 &gt; G3, 1,F95 &lt;= -G3, -1, TRUE, 0)</f>
        <v>-1</v>
      </c>
      <c r="H95" s="5">
        <v>0.0</v>
      </c>
      <c r="I95" s="5">
        <v>0.0</v>
      </c>
      <c r="J95" s="5">
        <v>0.0</v>
      </c>
      <c r="K95" s="5">
        <v>0.0</v>
      </c>
      <c r="L95" s="26">
        <f t="shared" ref="L95:O95" si="53">L94</f>
        <v>-1</v>
      </c>
      <c r="M95" s="26">
        <f t="shared" si="53"/>
        <v>0</v>
      </c>
      <c r="N95" s="26">
        <f t="shared" si="53"/>
        <v>2</v>
      </c>
      <c r="O95" s="26">
        <f t="shared" si="53"/>
        <v>-4</v>
      </c>
    </row>
    <row r="98">
      <c r="A98" s="39" t="s">
        <v>5</v>
      </c>
      <c r="B98" s="9"/>
      <c r="C98" s="9"/>
      <c r="D98" s="10"/>
      <c r="E98" s="40" t="s">
        <v>6</v>
      </c>
      <c r="F98" s="41"/>
      <c r="G98" s="40" t="s">
        <v>7</v>
      </c>
      <c r="H98" s="42" t="s">
        <v>8</v>
      </c>
      <c r="I98" s="14"/>
      <c r="J98" s="14"/>
      <c r="K98" s="15"/>
      <c r="L98" s="42" t="s">
        <v>9</v>
      </c>
      <c r="M98" s="14"/>
      <c r="N98" s="14"/>
      <c r="O98" s="15"/>
    </row>
    <row r="99">
      <c r="A99" s="16"/>
      <c r="B99" s="17"/>
      <c r="C99" s="17"/>
      <c r="D99" s="18"/>
      <c r="E99" s="19"/>
      <c r="F99" s="19"/>
      <c r="G99" s="19"/>
      <c r="H99" s="43" t="s">
        <v>10</v>
      </c>
      <c r="I99" s="14"/>
      <c r="J99" s="15"/>
      <c r="K99" s="44" t="s">
        <v>11</v>
      </c>
      <c r="L99" s="42" t="s">
        <v>12</v>
      </c>
      <c r="M99" s="14"/>
      <c r="N99" s="15"/>
      <c r="O99" s="45" t="s">
        <v>52</v>
      </c>
    </row>
    <row r="100">
      <c r="A100" s="46" t="s">
        <v>0</v>
      </c>
      <c r="B100" s="46" t="s">
        <v>1</v>
      </c>
      <c r="C100" s="46" t="s">
        <v>39</v>
      </c>
      <c r="D100" s="46">
        <v>1.0</v>
      </c>
      <c r="E100" s="46" t="s">
        <v>2</v>
      </c>
      <c r="F100" s="46" t="s">
        <v>14</v>
      </c>
      <c r="G100" s="46" t="s">
        <v>15</v>
      </c>
      <c r="H100" s="47" t="s">
        <v>16</v>
      </c>
      <c r="I100" s="47" t="s">
        <v>17</v>
      </c>
      <c r="J100" s="47" t="s">
        <v>41</v>
      </c>
      <c r="K100" s="47" t="s">
        <v>18</v>
      </c>
      <c r="L100" s="46" t="s">
        <v>19</v>
      </c>
      <c r="M100" s="46" t="s">
        <v>20</v>
      </c>
      <c r="N100" s="46" t="s">
        <v>42</v>
      </c>
      <c r="O100" s="46" t="s">
        <v>21</v>
      </c>
    </row>
    <row r="101">
      <c r="A101" s="25" t="s">
        <v>53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5">
        <f t="shared" ref="L101:O101" si="54">L95</f>
        <v>-1</v>
      </c>
      <c r="M101" s="5">
        <f t="shared" si="54"/>
        <v>0</v>
      </c>
      <c r="N101" s="5">
        <f t="shared" si="54"/>
        <v>2</v>
      </c>
      <c r="O101" s="5">
        <f t="shared" si="54"/>
        <v>-4</v>
      </c>
    </row>
    <row r="102">
      <c r="A102" s="5">
        <v>1.0</v>
      </c>
      <c r="B102" s="5">
        <v>1.0</v>
      </c>
      <c r="C102" s="5">
        <v>1.0</v>
      </c>
      <c r="D102" s="5">
        <v>1.0</v>
      </c>
      <c r="E102" s="5">
        <v>1.0</v>
      </c>
      <c r="F102" s="26">
        <f t="shared" ref="F102:F104" si="56">O101+(A102*L101)+(B102*M101)+(C102*N101)</f>
        <v>-3</v>
      </c>
      <c r="G102" s="5">
        <f>IFS(F102 &gt; G3, 1,F102 &lt;= -G3, -1, TRUE, 0)</f>
        <v>-1</v>
      </c>
      <c r="H102" s="26">
        <f>G2*A102*E102</f>
        <v>1</v>
      </c>
      <c r="I102" s="26">
        <f>G2*B102*E102</f>
        <v>1</v>
      </c>
      <c r="J102" s="26">
        <f>G2*C102*E102</f>
        <v>1</v>
      </c>
      <c r="K102" s="26">
        <f>G2*E102</f>
        <v>1</v>
      </c>
      <c r="L102" s="26">
        <f t="shared" ref="L102:O102" si="55">L101+H102</f>
        <v>0</v>
      </c>
      <c r="M102" s="26">
        <f t="shared" si="55"/>
        <v>1</v>
      </c>
      <c r="N102" s="26">
        <f t="shared" si="55"/>
        <v>3</v>
      </c>
      <c r="O102" s="26">
        <f t="shared" si="55"/>
        <v>-3</v>
      </c>
    </row>
    <row r="103">
      <c r="A103" s="5">
        <v>1.0</v>
      </c>
      <c r="B103" s="5">
        <v>1.0</v>
      </c>
      <c r="C103" s="5">
        <v>0.0</v>
      </c>
      <c r="D103" s="5">
        <v>1.0</v>
      </c>
      <c r="E103" s="5">
        <v>-1.0</v>
      </c>
      <c r="F103" s="26">
        <f t="shared" si="56"/>
        <v>-2</v>
      </c>
      <c r="G103" s="5">
        <f>IFS(F103 &gt; G3, 1,F103 &lt;= -G3, -1, TRUE, 0)</f>
        <v>-1</v>
      </c>
      <c r="H103" s="5">
        <v>0.0</v>
      </c>
      <c r="I103" s="5">
        <v>0.0</v>
      </c>
      <c r="J103" s="5">
        <v>0.0</v>
      </c>
      <c r="K103" s="5">
        <v>0.0</v>
      </c>
      <c r="L103" s="26">
        <f t="shared" ref="L103:O103" si="57">L102</f>
        <v>0</v>
      </c>
      <c r="M103" s="26">
        <f t="shared" si="57"/>
        <v>1</v>
      </c>
      <c r="N103" s="26">
        <f t="shared" si="57"/>
        <v>3</v>
      </c>
      <c r="O103" s="26">
        <f t="shared" si="57"/>
        <v>-3</v>
      </c>
    </row>
    <row r="104">
      <c r="A104" s="5">
        <v>1.0</v>
      </c>
      <c r="B104" s="5">
        <v>0.0</v>
      </c>
      <c r="C104" s="5">
        <v>1.0</v>
      </c>
      <c r="D104" s="5">
        <v>1.0</v>
      </c>
      <c r="E104" s="5">
        <v>-1.0</v>
      </c>
      <c r="F104" s="26">
        <f t="shared" si="56"/>
        <v>0</v>
      </c>
      <c r="G104" s="5">
        <f>IFS(F104 &gt; G3, 1,F104 &lt;= -G3, -1, TRUE, 0)</f>
        <v>0</v>
      </c>
      <c r="H104" s="26">
        <f>G2*A104*E104</f>
        <v>-1</v>
      </c>
      <c r="I104" s="26">
        <f>G2*B104*E104</f>
        <v>0</v>
      </c>
      <c r="J104" s="26">
        <f>G2*C104*E104</f>
        <v>-1</v>
      </c>
      <c r="K104" s="26">
        <f>G2*E104</f>
        <v>-1</v>
      </c>
      <c r="L104" s="26">
        <f t="shared" ref="L104:O104" si="58">L103+H104</f>
        <v>-1</v>
      </c>
      <c r="M104" s="26">
        <f t="shared" si="58"/>
        <v>1</v>
      </c>
      <c r="N104" s="26">
        <f t="shared" si="58"/>
        <v>2</v>
      </c>
      <c r="O104" s="26">
        <f t="shared" si="58"/>
        <v>-4</v>
      </c>
    </row>
    <row r="105">
      <c r="A105" s="5">
        <v>0.0</v>
      </c>
      <c r="B105" s="5">
        <v>1.0</v>
      </c>
      <c r="C105" s="5">
        <v>1.0</v>
      </c>
      <c r="D105" s="5">
        <v>1.0</v>
      </c>
      <c r="E105" s="5">
        <v>-1.0</v>
      </c>
      <c r="F105" s="26">
        <f>O104+(A105*L104)+(B105*M104)+(B105*M104)</f>
        <v>-2</v>
      </c>
      <c r="G105" s="5">
        <f>IFS(F105 &gt; G3, 1,F105 &lt;= -G3, -1, TRUE, 0)</f>
        <v>-1</v>
      </c>
      <c r="H105" s="5">
        <v>0.0</v>
      </c>
      <c r="I105" s="5">
        <v>0.0</v>
      </c>
      <c r="J105" s="5">
        <v>0.0</v>
      </c>
      <c r="K105" s="5">
        <v>0.0</v>
      </c>
      <c r="L105" s="26">
        <f t="shared" ref="L105:O105" si="59">L104</f>
        <v>-1</v>
      </c>
      <c r="M105" s="26">
        <f t="shared" si="59"/>
        <v>1</v>
      </c>
      <c r="N105" s="26">
        <f t="shared" si="59"/>
        <v>2</v>
      </c>
      <c r="O105" s="26">
        <f t="shared" si="59"/>
        <v>-4</v>
      </c>
    </row>
    <row r="108">
      <c r="A108" s="39" t="s">
        <v>5</v>
      </c>
      <c r="B108" s="9"/>
      <c r="C108" s="9"/>
      <c r="D108" s="10"/>
      <c r="E108" s="40" t="s">
        <v>6</v>
      </c>
      <c r="F108" s="41"/>
      <c r="G108" s="40" t="s">
        <v>7</v>
      </c>
      <c r="H108" s="42" t="s">
        <v>8</v>
      </c>
      <c r="I108" s="14"/>
      <c r="J108" s="14"/>
      <c r="K108" s="15"/>
      <c r="L108" s="42" t="s">
        <v>9</v>
      </c>
      <c r="M108" s="14"/>
      <c r="N108" s="14"/>
      <c r="O108" s="15"/>
    </row>
    <row r="109">
      <c r="A109" s="16"/>
      <c r="B109" s="17"/>
      <c r="C109" s="17"/>
      <c r="D109" s="18"/>
      <c r="E109" s="19"/>
      <c r="F109" s="19"/>
      <c r="G109" s="19"/>
      <c r="H109" s="43" t="s">
        <v>10</v>
      </c>
      <c r="I109" s="14"/>
      <c r="J109" s="15"/>
      <c r="K109" s="44" t="s">
        <v>11</v>
      </c>
      <c r="L109" s="42" t="s">
        <v>12</v>
      </c>
      <c r="M109" s="14"/>
      <c r="N109" s="15"/>
      <c r="O109" s="45" t="s">
        <v>54</v>
      </c>
    </row>
    <row r="110">
      <c r="A110" s="46" t="s">
        <v>0</v>
      </c>
      <c r="B110" s="46" t="s">
        <v>1</v>
      </c>
      <c r="C110" s="46" t="s">
        <v>39</v>
      </c>
      <c r="D110" s="46">
        <v>1.0</v>
      </c>
      <c r="E110" s="46" t="s">
        <v>2</v>
      </c>
      <c r="F110" s="46" t="s">
        <v>14</v>
      </c>
      <c r="G110" s="46" t="s">
        <v>15</v>
      </c>
      <c r="H110" s="47" t="s">
        <v>16</v>
      </c>
      <c r="I110" s="47" t="s">
        <v>17</v>
      </c>
      <c r="J110" s="47" t="s">
        <v>41</v>
      </c>
      <c r="K110" s="47" t="s">
        <v>18</v>
      </c>
      <c r="L110" s="46" t="s">
        <v>19</v>
      </c>
      <c r="M110" s="46" t="s">
        <v>20</v>
      </c>
      <c r="N110" s="46" t="s">
        <v>42</v>
      </c>
      <c r="O110" s="46" t="s">
        <v>21</v>
      </c>
    </row>
    <row r="111">
      <c r="A111" s="25" t="s">
        <v>55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5">
        <f t="shared" ref="L111:O111" si="60">L105</f>
        <v>-1</v>
      </c>
      <c r="M111" s="5">
        <f t="shared" si="60"/>
        <v>1</v>
      </c>
      <c r="N111" s="5">
        <f t="shared" si="60"/>
        <v>2</v>
      </c>
      <c r="O111" s="5">
        <f t="shared" si="60"/>
        <v>-4</v>
      </c>
    </row>
    <row r="112">
      <c r="A112" s="5">
        <v>1.0</v>
      </c>
      <c r="B112" s="5">
        <v>1.0</v>
      </c>
      <c r="C112" s="5">
        <v>1.0</v>
      </c>
      <c r="D112" s="5">
        <v>1.0</v>
      </c>
      <c r="E112" s="5">
        <v>1.0</v>
      </c>
      <c r="F112" s="26">
        <f t="shared" ref="F112:F114" si="62">O111+(A112*L111)+(B112*M111)+(C112*N111)</f>
        <v>-2</v>
      </c>
      <c r="G112" s="5">
        <f>IFS(F112 &gt; G3, 1,F112 &lt;= -G3, -1, TRUE, 0)</f>
        <v>-1</v>
      </c>
      <c r="H112" s="26">
        <f>G2*A112*E112</f>
        <v>1</v>
      </c>
      <c r="I112" s="26">
        <f>G2*B112*E112</f>
        <v>1</v>
      </c>
      <c r="J112" s="26">
        <f>G2*C112*E112</f>
        <v>1</v>
      </c>
      <c r="K112" s="26">
        <f>G2*E112</f>
        <v>1</v>
      </c>
      <c r="L112" s="26">
        <f t="shared" ref="L112:O112" si="61">L111+H112</f>
        <v>0</v>
      </c>
      <c r="M112" s="26">
        <f t="shared" si="61"/>
        <v>2</v>
      </c>
      <c r="N112" s="26">
        <f t="shared" si="61"/>
        <v>3</v>
      </c>
      <c r="O112" s="26">
        <f t="shared" si="61"/>
        <v>-3</v>
      </c>
    </row>
    <row r="113">
      <c r="A113" s="5">
        <v>1.0</v>
      </c>
      <c r="B113" s="5">
        <v>1.0</v>
      </c>
      <c r="C113" s="5">
        <v>0.0</v>
      </c>
      <c r="D113" s="5">
        <v>1.0</v>
      </c>
      <c r="E113" s="5">
        <v>-1.0</v>
      </c>
      <c r="F113" s="26">
        <f t="shared" si="62"/>
        <v>-1</v>
      </c>
      <c r="G113" s="5">
        <f>IFS(F113 &gt; G3, 1,F113 &lt;= -G3, -1, TRUE, 0)</f>
        <v>-1</v>
      </c>
      <c r="H113" s="5">
        <v>0.0</v>
      </c>
      <c r="I113" s="5">
        <v>0.0</v>
      </c>
      <c r="J113" s="5">
        <v>0.0</v>
      </c>
      <c r="K113" s="5">
        <v>0.0</v>
      </c>
      <c r="L113" s="26">
        <f t="shared" ref="L113:O113" si="63">L112</f>
        <v>0</v>
      </c>
      <c r="M113" s="26">
        <f t="shared" si="63"/>
        <v>2</v>
      </c>
      <c r="N113" s="26">
        <f t="shared" si="63"/>
        <v>3</v>
      </c>
      <c r="O113" s="26">
        <f t="shared" si="63"/>
        <v>-3</v>
      </c>
    </row>
    <row r="114">
      <c r="A114" s="5">
        <v>1.0</v>
      </c>
      <c r="B114" s="5">
        <v>0.0</v>
      </c>
      <c r="C114" s="5">
        <v>1.0</v>
      </c>
      <c r="D114" s="5">
        <v>1.0</v>
      </c>
      <c r="E114" s="5">
        <v>-1.0</v>
      </c>
      <c r="F114" s="26">
        <f t="shared" si="62"/>
        <v>0</v>
      </c>
      <c r="G114" s="5">
        <f>IFS(F114 &gt; G3, 1,F114 &lt;= -G3, -1, TRUE, 0)</f>
        <v>0</v>
      </c>
      <c r="H114" s="26">
        <f>G2*A114*E114</f>
        <v>-1</v>
      </c>
      <c r="I114" s="26">
        <f>G2*B114*E114</f>
        <v>0</v>
      </c>
      <c r="J114" s="26">
        <f>G2*C114*E114</f>
        <v>-1</v>
      </c>
      <c r="K114" s="26">
        <f>G2*E114</f>
        <v>-1</v>
      </c>
      <c r="L114" s="26">
        <f t="shared" ref="L114:O114" si="64">L113+H114</f>
        <v>-1</v>
      </c>
      <c r="M114" s="26">
        <f t="shared" si="64"/>
        <v>2</v>
      </c>
      <c r="N114" s="26">
        <f t="shared" si="64"/>
        <v>2</v>
      </c>
      <c r="O114" s="26">
        <f t="shared" si="64"/>
        <v>-4</v>
      </c>
    </row>
    <row r="115">
      <c r="A115" s="5">
        <v>0.0</v>
      </c>
      <c r="B115" s="5">
        <v>1.0</v>
      </c>
      <c r="C115" s="5">
        <v>1.0</v>
      </c>
      <c r="D115" s="5">
        <v>1.0</v>
      </c>
      <c r="E115" s="5">
        <v>-1.0</v>
      </c>
      <c r="F115" s="26">
        <f>O114+(A115*L114)+(B115*M114)+(B115*M114)</f>
        <v>0</v>
      </c>
      <c r="G115" s="5">
        <f>IFS(F115 &gt; G3, 1,F115 &lt;= -G3, -1, TRUE, 0)</f>
        <v>0</v>
      </c>
      <c r="H115" s="26">
        <f>G2*A115*E115</f>
        <v>0</v>
      </c>
      <c r="I115" s="26">
        <f>G2*B115*E115</f>
        <v>-1</v>
      </c>
      <c r="J115" s="26">
        <f>G2*C115*E115</f>
        <v>-1</v>
      </c>
      <c r="K115" s="26">
        <f>G2*E115</f>
        <v>-1</v>
      </c>
      <c r="L115" s="26">
        <f t="shared" ref="L115:O115" si="65">L114+H115</f>
        <v>-1</v>
      </c>
      <c r="M115" s="26">
        <f t="shared" si="65"/>
        <v>1</v>
      </c>
      <c r="N115" s="26">
        <f t="shared" si="65"/>
        <v>1</v>
      </c>
      <c r="O115" s="26">
        <f t="shared" si="65"/>
        <v>-5</v>
      </c>
    </row>
    <row r="118">
      <c r="A118" s="39" t="s">
        <v>5</v>
      </c>
      <c r="B118" s="9"/>
      <c r="C118" s="9"/>
      <c r="D118" s="10"/>
      <c r="E118" s="40" t="s">
        <v>6</v>
      </c>
      <c r="F118" s="41"/>
      <c r="G118" s="40" t="s">
        <v>7</v>
      </c>
      <c r="H118" s="42" t="s">
        <v>8</v>
      </c>
      <c r="I118" s="14"/>
      <c r="J118" s="14"/>
      <c r="K118" s="15"/>
      <c r="L118" s="42" t="s">
        <v>9</v>
      </c>
      <c r="M118" s="14"/>
      <c r="N118" s="14"/>
      <c r="O118" s="15"/>
    </row>
    <row r="119">
      <c r="A119" s="16"/>
      <c r="B119" s="17"/>
      <c r="C119" s="17"/>
      <c r="D119" s="18"/>
      <c r="E119" s="19"/>
      <c r="F119" s="19"/>
      <c r="G119" s="19"/>
      <c r="H119" s="43" t="s">
        <v>10</v>
      </c>
      <c r="I119" s="14"/>
      <c r="J119" s="15"/>
      <c r="K119" s="44" t="s">
        <v>11</v>
      </c>
      <c r="L119" s="42" t="s">
        <v>12</v>
      </c>
      <c r="M119" s="14"/>
      <c r="N119" s="15"/>
      <c r="O119" s="45" t="s">
        <v>56</v>
      </c>
    </row>
    <row r="120">
      <c r="A120" s="46" t="s">
        <v>0</v>
      </c>
      <c r="B120" s="46" t="s">
        <v>1</v>
      </c>
      <c r="C120" s="46" t="s">
        <v>39</v>
      </c>
      <c r="D120" s="46">
        <v>1.0</v>
      </c>
      <c r="E120" s="46" t="s">
        <v>2</v>
      </c>
      <c r="F120" s="46" t="s">
        <v>14</v>
      </c>
      <c r="G120" s="46" t="s">
        <v>15</v>
      </c>
      <c r="H120" s="47" t="s">
        <v>16</v>
      </c>
      <c r="I120" s="47" t="s">
        <v>17</v>
      </c>
      <c r="J120" s="47" t="s">
        <v>41</v>
      </c>
      <c r="K120" s="47" t="s">
        <v>18</v>
      </c>
      <c r="L120" s="46" t="s">
        <v>19</v>
      </c>
      <c r="M120" s="46" t="s">
        <v>20</v>
      </c>
      <c r="N120" s="46" t="s">
        <v>42</v>
      </c>
      <c r="O120" s="46" t="s">
        <v>21</v>
      </c>
    </row>
    <row r="121">
      <c r="A121" s="25" t="s">
        <v>57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5">
        <f t="shared" ref="L121:O121" si="66">L115</f>
        <v>-1</v>
      </c>
      <c r="M121" s="5">
        <f t="shared" si="66"/>
        <v>1</v>
      </c>
      <c r="N121" s="5">
        <f t="shared" si="66"/>
        <v>1</v>
      </c>
      <c r="O121" s="5">
        <f t="shared" si="66"/>
        <v>-5</v>
      </c>
    </row>
    <row r="122">
      <c r="A122" s="5">
        <v>1.0</v>
      </c>
      <c r="B122" s="5">
        <v>1.0</v>
      </c>
      <c r="C122" s="5">
        <v>1.0</v>
      </c>
      <c r="D122" s="5">
        <v>1.0</v>
      </c>
      <c r="E122" s="5">
        <v>1.0</v>
      </c>
      <c r="F122" s="26">
        <f t="shared" ref="F122:F124" si="68">O121+(A122*L121)+(B122*M121)+(C122*N121)</f>
        <v>-4</v>
      </c>
      <c r="G122" s="5">
        <f>IFS(F122 &gt; G3, 1,F122 &lt;= -G3, -1, TRUE, 0)</f>
        <v>-1</v>
      </c>
      <c r="H122" s="26">
        <f>G2*A122*E122</f>
        <v>1</v>
      </c>
      <c r="I122" s="26">
        <f>G2*B122*E122</f>
        <v>1</v>
      </c>
      <c r="J122" s="26">
        <f>G2*C122*E122</f>
        <v>1</v>
      </c>
      <c r="K122" s="26">
        <f>G2*E122</f>
        <v>1</v>
      </c>
      <c r="L122" s="26">
        <f t="shared" ref="L122:O122" si="67">L121+H122</f>
        <v>0</v>
      </c>
      <c r="M122" s="26">
        <f t="shared" si="67"/>
        <v>2</v>
      </c>
      <c r="N122" s="26">
        <f t="shared" si="67"/>
        <v>2</v>
      </c>
      <c r="O122" s="26">
        <f t="shared" si="67"/>
        <v>-4</v>
      </c>
    </row>
    <row r="123">
      <c r="A123" s="5">
        <v>1.0</v>
      </c>
      <c r="B123" s="5">
        <v>1.0</v>
      </c>
      <c r="C123" s="5">
        <v>0.0</v>
      </c>
      <c r="D123" s="5">
        <v>1.0</v>
      </c>
      <c r="E123" s="5">
        <v>-1.0</v>
      </c>
      <c r="F123" s="26">
        <f t="shared" si="68"/>
        <v>-2</v>
      </c>
      <c r="G123" s="5">
        <f>IFS(F123 &gt; G3, 1,F123 &lt;= -G3, -1, TRUE, 0)</f>
        <v>-1</v>
      </c>
      <c r="H123" s="5">
        <v>0.0</v>
      </c>
      <c r="I123" s="5">
        <v>0.0</v>
      </c>
      <c r="J123" s="5">
        <v>0.0</v>
      </c>
      <c r="K123" s="5">
        <v>0.0</v>
      </c>
      <c r="L123" s="26">
        <f t="shared" ref="L123:O123" si="69">L122</f>
        <v>0</v>
      </c>
      <c r="M123" s="26">
        <f t="shared" si="69"/>
        <v>2</v>
      </c>
      <c r="N123" s="26">
        <f t="shared" si="69"/>
        <v>2</v>
      </c>
      <c r="O123" s="26">
        <f t="shared" si="69"/>
        <v>-4</v>
      </c>
    </row>
    <row r="124">
      <c r="A124" s="5">
        <v>1.0</v>
      </c>
      <c r="B124" s="5">
        <v>0.0</v>
      </c>
      <c r="C124" s="5">
        <v>1.0</v>
      </c>
      <c r="D124" s="5">
        <v>1.0</v>
      </c>
      <c r="E124" s="5">
        <v>-1.0</v>
      </c>
      <c r="F124" s="26">
        <f t="shared" si="68"/>
        <v>-2</v>
      </c>
      <c r="G124" s="5">
        <f>IFS(F124 &gt; G3, 1,F124 &lt;= -G3, -1, TRUE, 0)</f>
        <v>-1</v>
      </c>
      <c r="H124" s="5">
        <v>0.0</v>
      </c>
      <c r="I124" s="5">
        <v>0.0</v>
      </c>
      <c r="J124" s="5">
        <v>0.0</v>
      </c>
      <c r="K124" s="5">
        <v>0.0</v>
      </c>
      <c r="L124" s="26">
        <f t="shared" ref="L124:O124" si="70">L123</f>
        <v>0</v>
      </c>
      <c r="M124" s="26">
        <f t="shared" si="70"/>
        <v>2</v>
      </c>
      <c r="N124" s="26">
        <f t="shared" si="70"/>
        <v>2</v>
      </c>
      <c r="O124" s="26">
        <f t="shared" si="70"/>
        <v>-4</v>
      </c>
    </row>
    <row r="125">
      <c r="A125" s="5">
        <v>0.0</v>
      </c>
      <c r="B125" s="5">
        <v>1.0</v>
      </c>
      <c r="C125" s="5">
        <v>1.0</v>
      </c>
      <c r="D125" s="5">
        <v>1.0</v>
      </c>
      <c r="E125" s="5">
        <v>-1.0</v>
      </c>
      <c r="F125" s="26">
        <f>O124+(A125*L124)+(B125*M124)+(B125*M124)</f>
        <v>0</v>
      </c>
      <c r="G125" s="5">
        <f>IFS(F125 &gt; G3, 1,F125 &lt;= -G3, -1, TRUE, 0)</f>
        <v>0</v>
      </c>
      <c r="H125" s="26">
        <f>G2*A125*E125</f>
        <v>0</v>
      </c>
      <c r="I125" s="26">
        <f>G2*B125*E125</f>
        <v>-1</v>
      </c>
      <c r="J125" s="26">
        <f>G2*C125*E125</f>
        <v>-1</v>
      </c>
      <c r="K125" s="26">
        <f>G2*E125</f>
        <v>-1</v>
      </c>
      <c r="L125" s="26">
        <f t="shared" ref="L125:O125" si="71">L124+H125</f>
        <v>0</v>
      </c>
      <c r="M125" s="26">
        <f t="shared" si="71"/>
        <v>1</v>
      </c>
      <c r="N125" s="26">
        <f t="shared" si="71"/>
        <v>1</v>
      </c>
      <c r="O125" s="26">
        <f t="shared" si="71"/>
        <v>-5</v>
      </c>
    </row>
    <row r="128">
      <c r="A128" s="39" t="s">
        <v>5</v>
      </c>
      <c r="B128" s="9"/>
      <c r="C128" s="9"/>
      <c r="D128" s="10"/>
      <c r="E128" s="40" t="s">
        <v>6</v>
      </c>
      <c r="F128" s="41"/>
      <c r="G128" s="40" t="s">
        <v>7</v>
      </c>
      <c r="H128" s="42" t="s">
        <v>8</v>
      </c>
      <c r="I128" s="14"/>
      <c r="J128" s="14"/>
      <c r="K128" s="15"/>
      <c r="L128" s="42" t="s">
        <v>9</v>
      </c>
      <c r="M128" s="14"/>
      <c r="N128" s="14"/>
      <c r="O128" s="15"/>
    </row>
    <row r="129">
      <c r="A129" s="16"/>
      <c r="B129" s="17"/>
      <c r="C129" s="17"/>
      <c r="D129" s="18"/>
      <c r="E129" s="19"/>
      <c r="F129" s="19"/>
      <c r="G129" s="19"/>
      <c r="H129" s="43" t="s">
        <v>10</v>
      </c>
      <c r="I129" s="14"/>
      <c r="J129" s="15"/>
      <c r="K129" s="44" t="s">
        <v>11</v>
      </c>
      <c r="L129" s="42" t="s">
        <v>12</v>
      </c>
      <c r="M129" s="14"/>
      <c r="N129" s="15"/>
      <c r="O129" s="45" t="s">
        <v>58</v>
      </c>
    </row>
    <row r="130">
      <c r="A130" s="46" t="s">
        <v>0</v>
      </c>
      <c r="B130" s="46" t="s">
        <v>1</v>
      </c>
      <c r="C130" s="46" t="s">
        <v>39</v>
      </c>
      <c r="D130" s="46">
        <v>1.0</v>
      </c>
      <c r="E130" s="46" t="s">
        <v>2</v>
      </c>
      <c r="F130" s="46" t="s">
        <v>14</v>
      </c>
      <c r="G130" s="46" t="s">
        <v>15</v>
      </c>
      <c r="H130" s="47" t="s">
        <v>16</v>
      </c>
      <c r="I130" s="47" t="s">
        <v>17</v>
      </c>
      <c r="J130" s="47" t="s">
        <v>41</v>
      </c>
      <c r="K130" s="47" t="s">
        <v>18</v>
      </c>
      <c r="L130" s="46" t="s">
        <v>19</v>
      </c>
      <c r="M130" s="46" t="s">
        <v>20</v>
      </c>
      <c r="N130" s="46" t="s">
        <v>42</v>
      </c>
      <c r="O130" s="46" t="s">
        <v>21</v>
      </c>
    </row>
    <row r="131">
      <c r="A131" s="25" t="s">
        <v>59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5">
        <f t="shared" ref="L131:O131" si="72">L125</f>
        <v>0</v>
      </c>
      <c r="M131" s="5">
        <f t="shared" si="72"/>
        <v>1</v>
      </c>
      <c r="N131" s="5">
        <f t="shared" si="72"/>
        <v>1</v>
      </c>
      <c r="O131" s="5">
        <f t="shared" si="72"/>
        <v>-5</v>
      </c>
    </row>
    <row r="132">
      <c r="A132" s="5">
        <v>1.0</v>
      </c>
      <c r="B132" s="5">
        <v>1.0</v>
      </c>
      <c r="C132" s="5">
        <v>1.0</v>
      </c>
      <c r="D132" s="5">
        <v>1.0</v>
      </c>
      <c r="E132" s="5">
        <v>1.0</v>
      </c>
      <c r="F132" s="26">
        <f t="shared" ref="F132:F134" si="74">O131+(A132*L131)+(B132*M131)+(C132*N131)</f>
        <v>-3</v>
      </c>
      <c r="G132" s="5">
        <f>IFS(F132 &gt; G3, 1,F132 &lt;= -G3, -1, TRUE, 0)</f>
        <v>-1</v>
      </c>
      <c r="H132" s="26">
        <f>G2*A132*E132</f>
        <v>1</v>
      </c>
      <c r="I132" s="26">
        <f>G2*B132*E132</f>
        <v>1</v>
      </c>
      <c r="J132" s="26">
        <f>G2*C132*E132</f>
        <v>1</v>
      </c>
      <c r="K132" s="26">
        <f>G2*E132</f>
        <v>1</v>
      </c>
      <c r="L132" s="26">
        <f t="shared" ref="L132:O132" si="73">L131+H132</f>
        <v>1</v>
      </c>
      <c r="M132" s="26">
        <f t="shared" si="73"/>
        <v>2</v>
      </c>
      <c r="N132" s="26">
        <f t="shared" si="73"/>
        <v>2</v>
      </c>
      <c r="O132" s="26">
        <f t="shared" si="73"/>
        <v>-4</v>
      </c>
    </row>
    <row r="133">
      <c r="A133" s="5">
        <v>1.0</v>
      </c>
      <c r="B133" s="5">
        <v>1.0</v>
      </c>
      <c r="C133" s="5">
        <v>0.0</v>
      </c>
      <c r="D133" s="5">
        <v>1.0</v>
      </c>
      <c r="E133" s="5">
        <v>-1.0</v>
      </c>
      <c r="F133" s="26">
        <f t="shared" si="74"/>
        <v>-1</v>
      </c>
      <c r="G133" s="5">
        <f>IFS(F133 &gt; G3, 1,F133 &lt;= -G3, -1, TRUE, 0)</f>
        <v>-1</v>
      </c>
      <c r="H133" s="5">
        <v>0.0</v>
      </c>
      <c r="I133" s="5">
        <v>0.0</v>
      </c>
      <c r="J133" s="5">
        <v>0.0</v>
      </c>
      <c r="K133" s="5">
        <v>0.0</v>
      </c>
      <c r="L133" s="26">
        <f t="shared" ref="L133:O133" si="75">L132</f>
        <v>1</v>
      </c>
      <c r="M133" s="26">
        <f t="shared" si="75"/>
        <v>2</v>
      </c>
      <c r="N133" s="26">
        <f t="shared" si="75"/>
        <v>2</v>
      </c>
      <c r="O133" s="26">
        <f t="shared" si="75"/>
        <v>-4</v>
      </c>
    </row>
    <row r="134">
      <c r="A134" s="5">
        <v>1.0</v>
      </c>
      <c r="B134" s="5">
        <v>0.0</v>
      </c>
      <c r="C134" s="5">
        <v>1.0</v>
      </c>
      <c r="D134" s="5">
        <v>1.0</v>
      </c>
      <c r="E134" s="5">
        <v>-1.0</v>
      </c>
      <c r="F134" s="26">
        <f t="shared" si="74"/>
        <v>-1</v>
      </c>
      <c r="G134" s="5">
        <f>IFS(F134 &gt; G3, 1,F134 &lt;= -G3, -1, TRUE, 0)</f>
        <v>-1</v>
      </c>
      <c r="H134" s="5">
        <v>0.0</v>
      </c>
      <c r="I134" s="5">
        <v>0.0</v>
      </c>
      <c r="J134" s="5">
        <v>0.0</v>
      </c>
      <c r="K134" s="5">
        <v>0.0</v>
      </c>
      <c r="L134" s="26">
        <f t="shared" ref="L134:O134" si="76">L133</f>
        <v>1</v>
      </c>
      <c r="M134" s="26">
        <f t="shared" si="76"/>
        <v>2</v>
      </c>
      <c r="N134" s="26">
        <f t="shared" si="76"/>
        <v>2</v>
      </c>
      <c r="O134" s="26">
        <f t="shared" si="76"/>
        <v>-4</v>
      </c>
    </row>
    <row r="135">
      <c r="A135" s="5">
        <v>0.0</v>
      </c>
      <c r="B135" s="5">
        <v>1.0</v>
      </c>
      <c r="C135" s="5">
        <v>1.0</v>
      </c>
      <c r="D135" s="5">
        <v>1.0</v>
      </c>
      <c r="E135" s="5">
        <v>-1.0</v>
      </c>
      <c r="F135" s="26">
        <f>O134+(A135*L134)+(B135*M134)+(B135*M134)</f>
        <v>0</v>
      </c>
      <c r="G135" s="5">
        <f>IFS(F135 &gt; G3, 1,F135 &lt;= -G3, -1, TRUE, 0)</f>
        <v>0</v>
      </c>
      <c r="H135" s="26">
        <f>G2*A135*E135</f>
        <v>0</v>
      </c>
      <c r="I135" s="26">
        <f>G2*B135*E135</f>
        <v>-1</v>
      </c>
      <c r="J135" s="26">
        <f>G2*C135*E135</f>
        <v>-1</v>
      </c>
      <c r="K135" s="26">
        <f>G2*E135</f>
        <v>-1</v>
      </c>
      <c r="L135" s="26">
        <f t="shared" ref="L135:O135" si="77">L134+H135</f>
        <v>1</v>
      </c>
      <c r="M135" s="26">
        <f t="shared" si="77"/>
        <v>1</v>
      </c>
      <c r="N135" s="26">
        <f t="shared" si="77"/>
        <v>1</v>
      </c>
      <c r="O135" s="26">
        <f t="shared" si="77"/>
        <v>-5</v>
      </c>
    </row>
    <row r="138">
      <c r="A138" s="39" t="s">
        <v>5</v>
      </c>
      <c r="B138" s="9"/>
      <c r="C138" s="9"/>
      <c r="D138" s="10"/>
      <c r="E138" s="40" t="s">
        <v>6</v>
      </c>
      <c r="F138" s="41"/>
      <c r="G138" s="40" t="s">
        <v>7</v>
      </c>
      <c r="H138" s="42" t="s">
        <v>8</v>
      </c>
      <c r="I138" s="14"/>
      <c r="J138" s="14"/>
      <c r="K138" s="15"/>
      <c r="L138" s="42" t="s">
        <v>9</v>
      </c>
      <c r="M138" s="14"/>
      <c r="N138" s="14"/>
      <c r="O138" s="15"/>
    </row>
    <row r="139">
      <c r="A139" s="16"/>
      <c r="B139" s="17"/>
      <c r="C139" s="17"/>
      <c r="D139" s="18"/>
      <c r="E139" s="19"/>
      <c r="F139" s="19"/>
      <c r="G139" s="19"/>
      <c r="H139" s="43" t="s">
        <v>10</v>
      </c>
      <c r="I139" s="14"/>
      <c r="J139" s="15"/>
      <c r="K139" s="44" t="s">
        <v>11</v>
      </c>
      <c r="L139" s="42" t="s">
        <v>12</v>
      </c>
      <c r="M139" s="14"/>
      <c r="N139" s="15"/>
      <c r="O139" s="45" t="s">
        <v>60</v>
      </c>
    </row>
    <row r="140">
      <c r="A140" s="46" t="s">
        <v>0</v>
      </c>
      <c r="B140" s="46" t="s">
        <v>1</v>
      </c>
      <c r="C140" s="46" t="s">
        <v>39</v>
      </c>
      <c r="D140" s="46">
        <v>1.0</v>
      </c>
      <c r="E140" s="46" t="s">
        <v>2</v>
      </c>
      <c r="F140" s="46" t="s">
        <v>14</v>
      </c>
      <c r="G140" s="46" t="s">
        <v>15</v>
      </c>
      <c r="H140" s="47" t="s">
        <v>16</v>
      </c>
      <c r="I140" s="47" t="s">
        <v>17</v>
      </c>
      <c r="J140" s="47" t="s">
        <v>41</v>
      </c>
      <c r="K140" s="47" t="s">
        <v>18</v>
      </c>
      <c r="L140" s="46" t="s">
        <v>19</v>
      </c>
      <c r="M140" s="46" t="s">
        <v>20</v>
      </c>
      <c r="N140" s="46" t="s">
        <v>42</v>
      </c>
      <c r="O140" s="46" t="s">
        <v>21</v>
      </c>
    </row>
    <row r="141">
      <c r="A141" s="25" t="s">
        <v>61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5">
        <f t="shared" ref="L141:O141" si="78">L135</f>
        <v>1</v>
      </c>
      <c r="M141" s="5">
        <f t="shared" si="78"/>
        <v>1</v>
      </c>
      <c r="N141" s="5">
        <f t="shared" si="78"/>
        <v>1</v>
      </c>
      <c r="O141" s="5">
        <f t="shared" si="78"/>
        <v>-5</v>
      </c>
    </row>
    <row r="142">
      <c r="A142" s="5">
        <v>1.0</v>
      </c>
      <c r="B142" s="5">
        <v>1.0</v>
      </c>
      <c r="C142" s="5">
        <v>1.0</v>
      </c>
      <c r="D142" s="5">
        <v>1.0</v>
      </c>
      <c r="E142" s="5">
        <v>1.0</v>
      </c>
      <c r="F142" s="26">
        <f t="shared" ref="F142:F144" si="80">O141+(A142*L141)+(B142*M141)+(C142*N141)</f>
        <v>-2</v>
      </c>
      <c r="G142" s="5">
        <f>IFS(F142 &gt; G3, 1,F142 &lt;= -G3, -1, TRUE, 0)</f>
        <v>-1</v>
      </c>
      <c r="H142" s="26">
        <f>G2*A142*E142</f>
        <v>1</v>
      </c>
      <c r="I142" s="26">
        <f>G2*B142*E142</f>
        <v>1</v>
      </c>
      <c r="J142" s="26">
        <f>G2*C142*E142</f>
        <v>1</v>
      </c>
      <c r="K142" s="26">
        <f>G2*E142</f>
        <v>1</v>
      </c>
      <c r="L142" s="26">
        <f t="shared" ref="L142:O142" si="79">L141+H142</f>
        <v>2</v>
      </c>
      <c r="M142" s="26">
        <f t="shared" si="79"/>
        <v>2</v>
      </c>
      <c r="N142" s="26">
        <f t="shared" si="79"/>
        <v>2</v>
      </c>
      <c r="O142" s="26">
        <f t="shared" si="79"/>
        <v>-4</v>
      </c>
    </row>
    <row r="143">
      <c r="A143" s="5">
        <v>1.0</v>
      </c>
      <c r="B143" s="5">
        <v>1.0</v>
      </c>
      <c r="C143" s="5">
        <v>0.0</v>
      </c>
      <c r="D143" s="5">
        <v>1.0</v>
      </c>
      <c r="E143" s="5">
        <v>-1.0</v>
      </c>
      <c r="F143" s="26">
        <f t="shared" si="80"/>
        <v>0</v>
      </c>
      <c r="G143" s="5">
        <f>IFS(F143 &gt; G3, 1,F143 &lt;= -G3, -1, TRUE, 0)</f>
        <v>0</v>
      </c>
      <c r="H143" s="26">
        <f>G2*A143*E143</f>
        <v>-1</v>
      </c>
      <c r="I143" s="26">
        <f>G2*B143*E143</f>
        <v>-1</v>
      </c>
      <c r="J143" s="26">
        <f>G2*C143*E143</f>
        <v>0</v>
      </c>
      <c r="K143" s="26">
        <f>G2*E143</f>
        <v>-1</v>
      </c>
      <c r="L143" s="26">
        <f t="shared" ref="L143:O143" si="81">L142+H143</f>
        <v>1</v>
      </c>
      <c r="M143" s="26">
        <f t="shared" si="81"/>
        <v>1</v>
      </c>
      <c r="N143" s="26">
        <f t="shared" si="81"/>
        <v>2</v>
      </c>
      <c r="O143" s="26">
        <f t="shared" si="81"/>
        <v>-5</v>
      </c>
    </row>
    <row r="144">
      <c r="A144" s="5">
        <v>1.0</v>
      </c>
      <c r="B144" s="5">
        <v>0.0</v>
      </c>
      <c r="C144" s="5">
        <v>1.0</v>
      </c>
      <c r="D144" s="5">
        <v>1.0</v>
      </c>
      <c r="E144" s="5">
        <v>-1.0</v>
      </c>
      <c r="F144" s="26">
        <f t="shared" si="80"/>
        <v>-2</v>
      </c>
      <c r="G144" s="5">
        <f>IFS(F144 &gt; G3, 1,F144 &lt;= -G3, -1, TRUE, 0)</f>
        <v>-1</v>
      </c>
      <c r="H144" s="5">
        <v>0.0</v>
      </c>
      <c r="I144" s="5">
        <v>0.0</v>
      </c>
      <c r="J144" s="5">
        <v>0.0</v>
      </c>
      <c r="K144" s="5">
        <v>0.0</v>
      </c>
      <c r="L144" s="26">
        <f t="shared" ref="L144:O144" si="82">L143</f>
        <v>1</v>
      </c>
      <c r="M144" s="26">
        <f t="shared" si="82"/>
        <v>1</v>
      </c>
      <c r="N144" s="26">
        <f t="shared" si="82"/>
        <v>2</v>
      </c>
      <c r="O144" s="26">
        <f t="shared" si="82"/>
        <v>-5</v>
      </c>
    </row>
    <row r="145">
      <c r="A145" s="5">
        <v>0.0</v>
      </c>
      <c r="B145" s="5">
        <v>1.0</v>
      </c>
      <c r="C145" s="5">
        <v>1.0</v>
      </c>
      <c r="D145" s="5">
        <v>1.0</v>
      </c>
      <c r="E145" s="5">
        <v>-1.0</v>
      </c>
      <c r="F145" s="26">
        <f>O144+(A145*L144)+(B145*M144)+(B145*M144)</f>
        <v>-3</v>
      </c>
      <c r="G145" s="5">
        <f>IFS(F145 &gt; G3, 1,F145 &lt;= -G3, -1, TRUE, 0)</f>
        <v>-1</v>
      </c>
      <c r="H145" s="5">
        <v>0.0</v>
      </c>
      <c r="I145" s="5">
        <v>0.0</v>
      </c>
      <c r="J145" s="5">
        <v>0.0</v>
      </c>
      <c r="K145" s="5">
        <v>0.0</v>
      </c>
      <c r="L145" s="26">
        <f t="shared" ref="L145:O145" si="83">L144</f>
        <v>1</v>
      </c>
      <c r="M145" s="26">
        <f t="shared" si="83"/>
        <v>1</v>
      </c>
      <c r="N145" s="26">
        <f t="shared" si="83"/>
        <v>2</v>
      </c>
      <c r="O145" s="26">
        <f t="shared" si="83"/>
        <v>-5</v>
      </c>
    </row>
    <row r="148">
      <c r="A148" s="39" t="s">
        <v>5</v>
      </c>
      <c r="B148" s="9"/>
      <c r="C148" s="9"/>
      <c r="D148" s="10"/>
      <c r="E148" s="40" t="s">
        <v>6</v>
      </c>
      <c r="F148" s="41"/>
      <c r="G148" s="40" t="s">
        <v>7</v>
      </c>
      <c r="H148" s="42" t="s">
        <v>8</v>
      </c>
      <c r="I148" s="14"/>
      <c r="J148" s="14"/>
      <c r="K148" s="15"/>
      <c r="L148" s="42" t="s">
        <v>9</v>
      </c>
      <c r="M148" s="14"/>
      <c r="N148" s="14"/>
      <c r="O148" s="15"/>
    </row>
    <row r="149">
      <c r="A149" s="16"/>
      <c r="B149" s="17"/>
      <c r="C149" s="17"/>
      <c r="D149" s="18"/>
      <c r="E149" s="19"/>
      <c r="F149" s="19"/>
      <c r="G149" s="19"/>
      <c r="H149" s="43" t="s">
        <v>10</v>
      </c>
      <c r="I149" s="14"/>
      <c r="J149" s="15"/>
      <c r="K149" s="44" t="s">
        <v>11</v>
      </c>
      <c r="L149" s="42" t="s">
        <v>12</v>
      </c>
      <c r="M149" s="14"/>
      <c r="N149" s="15"/>
      <c r="O149" s="45" t="s">
        <v>62</v>
      </c>
    </row>
    <row r="150">
      <c r="A150" s="46" t="s">
        <v>0</v>
      </c>
      <c r="B150" s="46" t="s">
        <v>1</v>
      </c>
      <c r="C150" s="46" t="s">
        <v>39</v>
      </c>
      <c r="D150" s="46">
        <v>1.0</v>
      </c>
      <c r="E150" s="46" t="s">
        <v>2</v>
      </c>
      <c r="F150" s="46" t="s">
        <v>14</v>
      </c>
      <c r="G150" s="46" t="s">
        <v>15</v>
      </c>
      <c r="H150" s="47" t="s">
        <v>16</v>
      </c>
      <c r="I150" s="47" t="s">
        <v>17</v>
      </c>
      <c r="J150" s="47" t="s">
        <v>41</v>
      </c>
      <c r="K150" s="47" t="s">
        <v>18</v>
      </c>
      <c r="L150" s="46" t="s">
        <v>19</v>
      </c>
      <c r="M150" s="46" t="s">
        <v>20</v>
      </c>
      <c r="N150" s="46" t="s">
        <v>42</v>
      </c>
      <c r="O150" s="46" t="s">
        <v>21</v>
      </c>
    </row>
    <row r="151">
      <c r="A151" s="25" t="s">
        <v>63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5"/>
      <c r="L151" s="5">
        <f t="shared" ref="L151:O151" si="84">L145</f>
        <v>1</v>
      </c>
      <c r="M151" s="5">
        <f t="shared" si="84"/>
        <v>1</v>
      </c>
      <c r="N151" s="5">
        <f t="shared" si="84"/>
        <v>2</v>
      </c>
      <c r="O151" s="5">
        <f t="shared" si="84"/>
        <v>-5</v>
      </c>
    </row>
    <row r="152">
      <c r="A152" s="5">
        <v>1.0</v>
      </c>
      <c r="B152" s="5">
        <v>1.0</v>
      </c>
      <c r="C152" s="5">
        <v>1.0</v>
      </c>
      <c r="D152" s="5">
        <v>1.0</v>
      </c>
      <c r="E152" s="5">
        <v>1.0</v>
      </c>
      <c r="F152" s="26">
        <f t="shared" ref="F152:F154" si="86">O151+(A152*L151)+(B152*M151)+(C152*N151)</f>
        <v>-1</v>
      </c>
      <c r="G152" s="5">
        <f>IFS(F152 &gt; G3, 1,F152 &lt;= -G3, -1, TRUE, 0)</f>
        <v>-1</v>
      </c>
      <c r="H152" s="26">
        <f>G2*A152*E152</f>
        <v>1</v>
      </c>
      <c r="I152" s="26">
        <f>G2*B152*E152</f>
        <v>1</v>
      </c>
      <c r="J152" s="26">
        <f>G2*C152*E152</f>
        <v>1</v>
      </c>
      <c r="K152" s="26">
        <f>G2*E152</f>
        <v>1</v>
      </c>
      <c r="L152" s="26">
        <f t="shared" ref="L152:O152" si="85">L151+H152</f>
        <v>2</v>
      </c>
      <c r="M152" s="26">
        <f t="shared" si="85"/>
        <v>2</v>
      </c>
      <c r="N152" s="26">
        <f t="shared" si="85"/>
        <v>3</v>
      </c>
      <c r="O152" s="26">
        <f t="shared" si="85"/>
        <v>-4</v>
      </c>
    </row>
    <row r="153">
      <c r="A153" s="5">
        <v>1.0</v>
      </c>
      <c r="B153" s="5">
        <v>1.0</v>
      </c>
      <c r="C153" s="5">
        <v>0.0</v>
      </c>
      <c r="D153" s="5">
        <v>1.0</v>
      </c>
      <c r="E153" s="5">
        <v>-1.0</v>
      </c>
      <c r="F153" s="26">
        <f t="shared" si="86"/>
        <v>0</v>
      </c>
      <c r="G153" s="5">
        <f>IFS(F153 &gt; G3, 1,F153 &lt;= -G3, -1, TRUE, 0)</f>
        <v>0</v>
      </c>
      <c r="H153" s="26">
        <f>G2*A153*E153</f>
        <v>-1</v>
      </c>
      <c r="I153" s="26">
        <f>G2*B153*E153</f>
        <v>-1</v>
      </c>
      <c r="J153" s="26">
        <f>G2*C153*E153</f>
        <v>0</v>
      </c>
      <c r="K153" s="26">
        <f>G2*E153</f>
        <v>-1</v>
      </c>
      <c r="L153" s="26">
        <f t="shared" ref="L153:O153" si="87">L152+H153</f>
        <v>1</v>
      </c>
      <c r="M153" s="26">
        <f t="shared" si="87"/>
        <v>1</v>
      </c>
      <c r="N153" s="26">
        <f t="shared" si="87"/>
        <v>3</v>
      </c>
      <c r="O153" s="26">
        <f t="shared" si="87"/>
        <v>-5</v>
      </c>
    </row>
    <row r="154">
      <c r="A154" s="5">
        <v>1.0</v>
      </c>
      <c r="B154" s="5">
        <v>0.0</v>
      </c>
      <c r="C154" s="5">
        <v>1.0</v>
      </c>
      <c r="D154" s="5">
        <v>1.0</v>
      </c>
      <c r="E154" s="5">
        <v>-1.0</v>
      </c>
      <c r="F154" s="26">
        <f t="shared" si="86"/>
        <v>-1</v>
      </c>
      <c r="G154" s="5">
        <f>IFS(F154 &gt; G3, 1,F154 &lt;= -G3, -1, TRUE, 0)</f>
        <v>-1</v>
      </c>
      <c r="H154" s="5">
        <v>0.0</v>
      </c>
      <c r="I154" s="5">
        <v>0.0</v>
      </c>
      <c r="J154" s="5">
        <v>0.0</v>
      </c>
      <c r="K154" s="5">
        <v>0.0</v>
      </c>
      <c r="L154" s="26">
        <f t="shared" ref="L154:O154" si="88">L153</f>
        <v>1</v>
      </c>
      <c r="M154" s="26">
        <f t="shared" si="88"/>
        <v>1</v>
      </c>
      <c r="N154" s="26">
        <f t="shared" si="88"/>
        <v>3</v>
      </c>
      <c r="O154" s="26">
        <f t="shared" si="88"/>
        <v>-5</v>
      </c>
    </row>
    <row r="155">
      <c r="A155" s="5">
        <v>0.0</v>
      </c>
      <c r="B155" s="5">
        <v>1.0</v>
      </c>
      <c r="C155" s="5">
        <v>1.0</v>
      </c>
      <c r="D155" s="5">
        <v>1.0</v>
      </c>
      <c r="E155" s="5">
        <v>-1.0</v>
      </c>
      <c r="F155" s="26">
        <f>O154+(A155*L154)+(B155*M154)+(B155*M154)</f>
        <v>-3</v>
      </c>
      <c r="G155" s="5">
        <f>IFS(F155 &gt; G3, 1,F155 &lt;= -G3, -1, TRUE, 0)</f>
        <v>-1</v>
      </c>
      <c r="H155" s="5">
        <v>0.0</v>
      </c>
      <c r="I155" s="5">
        <v>0.0</v>
      </c>
      <c r="J155" s="5">
        <v>0.0</v>
      </c>
      <c r="K155" s="5">
        <v>0.0</v>
      </c>
      <c r="L155" s="26">
        <f t="shared" ref="L155:O155" si="89">L154</f>
        <v>1</v>
      </c>
      <c r="M155" s="26">
        <f t="shared" si="89"/>
        <v>1</v>
      </c>
      <c r="N155" s="26">
        <f t="shared" si="89"/>
        <v>3</v>
      </c>
      <c r="O155" s="26">
        <f t="shared" si="89"/>
        <v>-5</v>
      </c>
    </row>
    <row r="158">
      <c r="A158" s="51" t="s">
        <v>5</v>
      </c>
      <c r="B158" s="9"/>
      <c r="C158" s="9"/>
      <c r="D158" s="10"/>
      <c r="E158" s="52" t="s">
        <v>6</v>
      </c>
      <c r="F158" s="53"/>
      <c r="G158" s="52" t="s">
        <v>7</v>
      </c>
      <c r="H158" s="54" t="s">
        <v>8</v>
      </c>
      <c r="I158" s="14"/>
      <c r="J158" s="14"/>
      <c r="K158" s="15"/>
      <c r="L158" s="54" t="s">
        <v>9</v>
      </c>
      <c r="M158" s="14"/>
      <c r="N158" s="14"/>
      <c r="O158" s="15"/>
    </row>
    <row r="159">
      <c r="A159" s="16"/>
      <c r="B159" s="17"/>
      <c r="C159" s="17"/>
      <c r="D159" s="18"/>
      <c r="E159" s="19"/>
      <c r="F159" s="19"/>
      <c r="G159" s="19"/>
      <c r="H159" s="55" t="s">
        <v>10</v>
      </c>
      <c r="I159" s="14"/>
      <c r="J159" s="15"/>
      <c r="K159" s="56" t="s">
        <v>11</v>
      </c>
      <c r="L159" s="54" t="s">
        <v>12</v>
      </c>
      <c r="M159" s="14"/>
      <c r="N159" s="15"/>
      <c r="O159" s="45" t="s">
        <v>64</v>
      </c>
    </row>
    <row r="160">
      <c r="A160" s="57" t="s">
        <v>0</v>
      </c>
      <c r="B160" s="57" t="s">
        <v>1</v>
      </c>
      <c r="C160" s="57" t="s">
        <v>39</v>
      </c>
      <c r="D160" s="57">
        <v>1.0</v>
      </c>
      <c r="E160" s="57" t="s">
        <v>2</v>
      </c>
      <c r="F160" s="57" t="s">
        <v>14</v>
      </c>
      <c r="G160" s="57" t="s">
        <v>15</v>
      </c>
      <c r="H160" s="58" t="s">
        <v>16</v>
      </c>
      <c r="I160" s="58" t="s">
        <v>17</v>
      </c>
      <c r="J160" s="58" t="s">
        <v>41</v>
      </c>
      <c r="K160" s="58" t="s">
        <v>18</v>
      </c>
      <c r="L160" s="57" t="s">
        <v>19</v>
      </c>
      <c r="M160" s="57" t="s">
        <v>20</v>
      </c>
      <c r="N160" s="57" t="s">
        <v>42</v>
      </c>
      <c r="O160" s="57" t="s">
        <v>21</v>
      </c>
    </row>
    <row r="161">
      <c r="A161" s="59" t="s">
        <v>65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5"/>
      <c r="L161" s="60">
        <f t="shared" ref="L161:O161" si="90">L155</f>
        <v>1</v>
      </c>
      <c r="M161" s="60">
        <f t="shared" si="90"/>
        <v>1</v>
      </c>
      <c r="N161" s="60">
        <f t="shared" si="90"/>
        <v>3</v>
      </c>
      <c r="O161" s="60">
        <f t="shared" si="90"/>
        <v>-5</v>
      </c>
    </row>
    <row r="162">
      <c r="A162" s="60">
        <v>1.0</v>
      </c>
      <c r="B162" s="60">
        <v>1.0</v>
      </c>
      <c r="C162" s="60">
        <v>1.0</v>
      </c>
      <c r="D162" s="60">
        <v>1.0</v>
      </c>
      <c r="E162" s="60">
        <v>1.0</v>
      </c>
      <c r="F162" s="60">
        <f t="shared" ref="F162:F164" si="92">O161+(A162*L161)+(B162*M161)+(C162*N161)</f>
        <v>0</v>
      </c>
      <c r="G162" s="60">
        <f>IFS(F162 &gt; G3, 1,F162 &lt;= -G3, -1, TRUE, 0)</f>
        <v>0</v>
      </c>
      <c r="H162" s="60">
        <f>G2*A162*E162</f>
        <v>1</v>
      </c>
      <c r="I162" s="60">
        <f>G2*B162*E162</f>
        <v>1</v>
      </c>
      <c r="J162" s="60">
        <f>G2*C162*E162</f>
        <v>1</v>
      </c>
      <c r="K162" s="60">
        <f>G2*E162</f>
        <v>1</v>
      </c>
      <c r="L162" s="60">
        <f t="shared" ref="L162:O162" si="91">L161+H162</f>
        <v>2</v>
      </c>
      <c r="M162" s="60">
        <f t="shared" si="91"/>
        <v>2</v>
      </c>
      <c r="N162" s="60">
        <f t="shared" si="91"/>
        <v>4</v>
      </c>
      <c r="O162" s="60">
        <f t="shared" si="91"/>
        <v>-4</v>
      </c>
    </row>
    <row r="163">
      <c r="A163" s="60">
        <v>1.0</v>
      </c>
      <c r="B163" s="60">
        <v>1.0</v>
      </c>
      <c r="C163" s="60">
        <v>0.0</v>
      </c>
      <c r="D163" s="60">
        <v>1.0</v>
      </c>
      <c r="E163" s="60">
        <v>-1.0</v>
      </c>
      <c r="F163" s="60">
        <f t="shared" si="92"/>
        <v>0</v>
      </c>
      <c r="G163" s="60">
        <f>IFS(F163 &gt; G3, 1,F163 &lt;= -G3, -1, TRUE, 0)</f>
        <v>0</v>
      </c>
      <c r="H163" s="60">
        <f>G2*A163*E163</f>
        <v>-1</v>
      </c>
      <c r="I163" s="60">
        <f>G2*B163*E163</f>
        <v>-1</v>
      </c>
      <c r="J163" s="60">
        <f>G2*C163*E163</f>
        <v>0</v>
      </c>
      <c r="K163" s="60">
        <f>G2*E163</f>
        <v>-1</v>
      </c>
      <c r="L163" s="60">
        <f t="shared" ref="L163:O163" si="93">L162+H163</f>
        <v>1</v>
      </c>
      <c r="M163" s="60">
        <f t="shared" si="93"/>
        <v>1</v>
      </c>
      <c r="N163" s="60">
        <f t="shared" si="93"/>
        <v>4</v>
      </c>
      <c r="O163" s="60">
        <f t="shared" si="93"/>
        <v>-5</v>
      </c>
    </row>
    <row r="164">
      <c r="A164" s="60">
        <v>1.0</v>
      </c>
      <c r="B164" s="60">
        <v>0.0</v>
      </c>
      <c r="C164" s="60">
        <v>1.0</v>
      </c>
      <c r="D164" s="60">
        <v>1.0</v>
      </c>
      <c r="E164" s="60">
        <v>-1.0</v>
      </c>
      <c r="F164" s="60">
        <f t="shared" si="92"/>
        <v>0</v>
      </c>
      <c r="G164" s="60">
        <f>IFS(F164 &gt; G3, 1,F164 &lt;= -G3, -1, TRUE, 0)</f>
        <v>0</v>
      </c>
      <c r="H164" s="60">
        <f>G2*A164*E164</f>
        <v>-1</v>
      </c>
      <c r="I164" s="60">
        <f>G2*B164*E164</f>
        <v>0</v>
      </c>
      <c r="J164" s="60">
        <f>G2*C164*E164</f>
        <v>-1</v>
      </c>
      <c r="K164" s="60">
        <f>G2*E164</f>
        <v>-1</v>
      </c>
      <c r="L164" s="60">
        <f t="shared" ref="L164:O164" si="94">L163+H164</f>
        <v>0</v>
      </c>
      <c r="M164" s="60">
        <f t="shared" si="94"/>
        <v>1</v>
      </c>
      <c r="N164" s="60">
        <f t="shared" si="94"/>
        <v>3</v>
      </c>
      <c r="O164" s="60">
        <f t="shared" si="94"/>
        <v>-6</v>
      </c>
    </row>
    <row r="165">
      <c r="A165" s="60">
        <v>0.0</v>
      </c>
      <c r="B165" s="60">
        <v>1.0</v>
      </c>
      <c r="C165" s="60">
        <v>1.0</v>
      </c>
      <c r="D165" s="60">
        <v>1.0</v>
      </c>
      <c r="E165" s="60">
        <v>-1.0</v>
      </c>
      <c r="F165" s="60">
        <f>O164+(A165*L164)+(B165*M164)+(B165*M164)</f>
        <v>-4</v>
      </c>
      <c r="G165" s="60">
        <f>IFS(F165 &gt; G3, 1,F165 &lt;= -G3, -1, TRUE, 0)</f>
        <v>-1</v>
      </c>
      <c r="H165" s="61">
        <v>0.0</v>
      </c>
      <c r="I165" s="61">
        <v>0.0</v>
      </c>
      <c r="J165" s="61">
        <v>0.0</v>
      </c>
      <c r="K165" s="61">
        <v>0.0</v>
      </c>
      <c r="L165" s="60">
        <f t="shared" ref="L165:O165" si="95">L164</f>
        <v>0</v>
      </c>
      <c r="M165" s="60">
        <f t="shared" si="95"/>
        <v>1</v>
      </c>
      <c r="N165" s="60">
        <f t="shared" si="95"/>
        <v>3</v>
      </c>
      <c r="O165" s="60">
        <f t="shared" si="95"/>
        <v>-6</v>
      </c>
    </row>
    <row r="168">
      <c r="A168" s="51" t="s">
        <v>5</v>
      </c>
      <c r="B168" s="9"/>
      <c r="C168" s="9"/>
      <c r="D168" s="10"/>
      <c r="E168" s="52" t="s">
        <v>6</v>
      </c>
      <c r="F168" s="53"/>
      <c r="G168" s="52" t="s">
        <v>7</v>
      </c>
      <c r="H168" s="54" t="s">
        <v>8</v>
      </c>
      <c r="I168" s="14"/>
      <c r="J168" s="14"/>
      <c r="K168" s="15"/>
      <c r="L168" s="54" t="s">
        <v>9</v>
      </c>
      <c r="M168" s="14"/>
      <c r="N168" s="14"/>
      <c r="O168" s="15"/>
    </row>
    <row r="169">
      <c r="A169" s="16"/>
      <c r="B169" s="17"/>
      <c r="C169" s="17"/>
      <c r="D169" s="18"/>
      <c r="E169" s="19"/>
      <c r="F169" s="19"/>
      <c r="G169" s="19"/>
      <c r="H169" s="55" t="s">
        <v>10</v>
      </c>
      <c r="I169" s="14"/>
      <c r="J169" s="15"/>
      <c r="K169" s="56" t="s">
        <v>11</v>
      </c>
      <c r="L169" s="54" t="s">
        <v>12</v>
      </c>
      <c r="M169" s="14"/>
      <c r="N169" s="15"/>
      <c r="O169" s="45" t="s">
        <v>66</v>
      </c>
    </row>
    <row r="170">
      <c r="A170" s="57" t="s">
        <v>0</v>
      </c>
      <c r="B170" s="57" t="s">
        <v>1</v>
      </c>
      <c r="C170" s="57" t="s">
        <v>39</v>
      </c>
      <c r="D170" s="57">
        <v>1.0</v>
      </c>
      <c r="E170" s="57" t="s">
        <v>2</v>
      </c>
      <c r="F170" s="57" t="s">
        <v>14</v>
      </c>
      <c r="G170" s="57" t="s">
        <v>15</v>
      </c>
      <c r="H170" s="58" t="s">
        <v>16</v>
      </c>
      <c r="I170" s="58" t="s">
        <v>17</v>
      </c>
      <c r="J170" s="58" t="s">
        <v>41</v>
      </c>
      <c r="K170" s="58" t="s">
        <v>18</v>
      </c>
      <c r="L170" s="57" t="s">
        <v>19</v>
      </c>
      <c r="M170" s="57" t="s">
        <v>20</v>
      </c>
      <c r="N170" s="57" t="s">
        <v>42</v>
      </c>
      <c r="O170" s="57" t="s">
        <v>21</v>
      </c>
    </row>
    <row r="171">
      <c r="A171" s="59" t="s">
        <v>67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5"/>
      <c r="L171" s="60">
        <f t="shared" ref="L171:O171" si="96">L165</f>
        <v>0</v>
      </c>
      <c r="M171" s="60">
        <f t="shared" si="96"/>
        <v>1</v>
      </c>
      <c r="N171" s="60">
        <f t="shared" si="96"/>
        <v>3</v>
      </c>
      <c r="O171" s="60">
        <f t="shared" si="96"/>
        <v>-6</v>
      </c>
    </row>
    <row r="172">
      <c r="A172" s="60">
        <v>1.0</v>
      </c>
      <c r="B172" s="60">
        <v>1.0</v>
      </c>
      <c r="C172" s="60">
        <v>1.0</v>
      </c>
      <c r="D172" s="60">
        <v>1.0</v>
      </c>
      <c r="E172" s="60">
        <v>1.0</v>
      </c>
      <c r="F172" s="60">
        <f t="shared" ref="F172:F174" si="98">O171+(A172*L171)+(B172*M171)+(C172*N171)</f>
        <v>-2</v>
      </c>
      <c r="G172" s="60">
        <f>IFS(F172 &gt; G13, 1,F172 &lt;= -G13, -1, TRUE, 0)</f>
        <v>-1</v>
      </c>
      <c r="H172" s="60">
        <f>G2*A172*E172</f>
        <v>1</v>
      </c>
      <c r="I172" s="60">
        <f>G2*B172*E172</f>
        <v>1</v>
      </c>
      <c r="J172" s="60">
        <f>G2*C172*E172</f>
        <v>1</v>
      </c>
      <c r="K172" s="60">
        <f>G2*E172</f>
        <v>1</v>
      </c>
      <c r="L172" s="60">
        <f t="shared" ref="L172:O172" si="97">L171+H172</f>
        <v>1</v>
      </c>
      <c r="M172" s="60">
        <f t="shared" si="97"/>
        <v>2</v>
      </c>
      <c r="N172" s="60">
        <f t="shared" si="97"/>
        <v>4</v>
      </c>
      <c r="O172" s="60">
        <f t="shared" si="97"/>
        <v>-5</v>
      </c>
    </row>
    <row r="173">
      <c r="A173" s="60">
        <v>1.0</v>
      </c>
      <c r="B173" s="60">
        <v>1.0</v>
      </c>
      <c r="C173" s="60">
        <v>0.0</v>
      </c>
      <c r="D173" s="60">
        <v>1.0</v>
      </c>
      <c r="E173" s="60">
        <v>-1.0</v>
      </c>
      <c r="F173" s="60">
        <f t="shared" si="98"/>
        <v>-2</v>
      </c>
      <c r="G173" s="60">
        <f>IFS(F173 &gt; G3, 1,F173 &lt;= -G3, -1, TRUE, 0)</f>
        <v>-1</v>
      </c>
      <c r="H173" s="61">
        <v>0.0</v>
      </c>
      <c r="I173" s="61">
        <v>0.0</v>
      </c>
      <c r="J173" s="61">
        <v>0.0</v>
      </c>
      <c r="K173" s="61">
        <v>0.0</v>
      </c>
      <c r="L173" s="60">
        <f t="shared" ref="L173:O173" si="99">L172</f>
        <v>1</v>
      </c>
      <c r="M173" s="60">
        <f t="shared" si="99"/>
        <v>2</v>
      </c>
      <c r="N173" s="60">
        <f t="shared" si="99"/>
        <v>4</v>
      </c>
      <c r="O173" s="60">
        <f t="shared" si="99"/>
        <v>-5</v>
      </c>
    </row>
    <row r="174">
      <c r="A174" s="60">
        <v>1.0</v>
      </c>
      <c r="B174" s="60">
        <v>0.0</v>
      </c>
      <c r="C174" s="60">
        <v>1.0</v>
      </c>
      <c r="D174" s="60">
        <v>1.0</v>
      </c>
      <c r="E174" s="60">
        <v>-1.0</v>
      </c>
      <c r="F174" s="60">
        <f t="shared" si="98"/>
        <v>0</v>
      </c>
      <c r="G174" s="60">
        <f>IFS(F174 &gt; G3, 1,F174 &lt;= -G3, -1, TRUE, 0)</f>
        <v>0</v>
      </c>
      <c r="H174" s="60">
        <f>G2*A174*E174</f>
        <v>-1</v>
      </c>
      <c r="I174" s="60">
        <f>G2*B174*E174</f>
        <v>0</v>
      </c>
      <c r="J174" s="60">
        <f>G2*C174*E174</f>
        <v>-1</v>
      </c>
      <c r="K174" s="60">
        <f>G2*E174</f>
        <v>-1</v>
      </c>
      <c r="L174" s="60">
        <f t="shared" ref="L174:O174" si="100">L173+H174</f>
        <v>0</v>
      </c>
      <c r="M174" s="60">
        <f t="shared" si="100"/>
        <v>2</v>
      </c>
      <c r="N174" s="60">
        <f t="shared" si="100"/>
        <v>3</v>
      </c>
      <c r="O174" s="60">
        <f t="shared" si="100"/>
        <v>-6</v>
      </c>
    </row>
    <row r="175">
      <c r="A175" s="60">
        <v>0.0</v>
      </c>
      <c r="B175" s="60">
        <v>1.0</v>
      </c>
      <c r="C175" s="60">
        <v>1.0</v>
      </c>
      <c r="D175" s="60">
        <v>1.0</v>
      </c>
      <c r="E175" s="60">
        <v>-1.0</v>
      </c>
      <c r="F175" s="60">
        <f>O174+(A175*L174)+(B175*M174)+(B175*M174)</f>
        <v>-2</v>
      </c>
      <c r="G175" s="60">
        <f>IFS(F175 &gt; G3, 1,F175 &lt;= -G3, -1, TRUE, 0)</f>
        <v>-1</v>
      </c>
      <c r="H175" s="61">
        <v>0.0</v>
      </c>
      <c r="I175" s="61">
        <v>0.0</v>
      </c>
      <c r="J175" s="61">
        <v>0.0</v>
      </c>
      <c r="K175" s="61">
        <v>0.0</v>
      </c>
      <c r="L175" s="60">
        <f t="shared" ref="L175:O175" si="101">L174</f>
        <v>0</v>
      </c>
      <c r="M175" s="60">
        <f t="shared" si="101"/>
        <v>2</v>
      </c>
      <c r="N175" s="60">
        <f t="shared" si="101"/>
        <v>3</v>
      </c>
      <c r="O175" s="60">
        <f t="shared" si="101"/>
        <v>-6</v>
      </c>
    </row>
    <row r="178">
      <c r="A178" s="51" t="s">
        <v>5</v>
      </c>
      <c r="B178" s="9"/>
      <c r="C178" s="9"/>
      <c r="D178" s="10"/>
      <c r="E178" s="52" t="s">
        <v>6</v>
      </c>
      <c r="F178" s="53"/>
      <c r="G178" s="52" t="s">
        <v>7</v>
      </c>
      <c r="H178" s="54" t="s">
        <v>8</v>
      </c>
      <c r="I178" s="14"/>
      <c r="J178" s="14"/>
      <c r="K178" s="15"/>
      <c r="L178" s="54" t="s">
        <v>9</v>
      </c>
      <c r="M178" s="14"/>
      <c r="N178" s="14"/>
      <c r="O178" s="15"/>
    </row>
    <row r="179">
      <c r="A179" s="16"/>
      <c r="B179" s="17"/>
      <c r="C179" s="17"/>
      <c r="D179" s="18"/>
      <c r="E179" s="19"/>
      <c r="F179" s="19"/>
      <c r="G179" s="19"/>
      <c r="H179" s="55" t="s">
        <v>10</v>
      </c>
      <c r="I179" s="14"/>
      <c r="J179" s="15"/>
      <c r="K179" s="56" t="s">
        <v>11</v>
      </c>
      <c r="L179" s="54" t="s">
        <v>12</v>
      </c>
      <c r="M179" s="14"/>
      <c r="N179" s="15"/>
      <c r="O179" s="45" t="s">
        <v>68</v>
      </c>
    </row>
    <row r="180">
      <c r="A180" s="57" t="s">
        <v>0</v>
      </c>
      <c r="B180" s="57" t="s">
        <v>1</v>
      </c>
      <c r="C180" s="57" t="s">
        <v>39</v>
      </c>
      <c r="D180" s="57">
        <v>1.0</v>
      </c>
      <c r="E180" s="57" t="s">
        <v>2</v>
      </c>
      <c r="F180" s="57" t="s">
        <v>14</v>
      </c>
      <c r="G180" s="57" t="s">
        <v>15</v>
      </c>
      <c r="H180" s="58" t="s">
        <v>16</v>
      </c>
      <c r="I180" s="58" t="s">
        <v>17</v>
      </c>
      <c r="J180" s="58" t="s">
        <v>41</v>
      </c>
      <c r="K180" s="58" t="s">
        <v>18</v>
      </c>
      <c r="L180" s="57" t="s">
        <v>19</v>
      </c>
      <c r="M180" s="57" t="s">
        <v>20</v>
      </c>
      <c r="N180" s="57" t="s">
        <v>42</v>
      </c>
      <c r="O180" s="57" t="s">
        <v>21</v>
      </c>
    </row>
    <row r="181">
      <c r="A181" s="59" t="s">
        <v>69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60">
        <f t="shared" ref="L181:O181" si="102">L175</f>
        <v>0</v>
      </c>
      <c r="M181" s="60">
        <f t="shared" si="102"/>
        <v>2</v>
      </c>
      <c r="N181" s="60">
        <f t="shared" si="102"/>
        <v>3</v>
      </c>
      <c r="O181" s="60">
        <f t="shared" si="102"/>
        <v>-6</v>
      </c>
    </row>
    <row r="182">
      <c r="A182" s="60">
        <v>1.0</v>
      </c>
      <c r="B182" s="60">
        <v>1.0</v>
      </c>
      <c r="C182" s="60">
        <v>1.0</v>
      </c>
      <c r="D182" s="60">
        <v>1.0</v>
      </c>
      <c r="E182" s="60">
        <v>1.0</v>
      </c>
      <c r="F182" s="60">
        <f t="shared" ref="F182:F184" si="104">O181+(A182*L181)+(B182*M181)+(C182*N181)</f>
        <v>-1</v>
      </c>
      <c r="G182" s="60">
        <f>IFS(F182 &gt; G3, 1,F182 &lt;= -G3, -1, TRUE, 0)</f>
        <v>-1</v>
      </c>
      <c r="H182" s="60">
        <f>G2*A182*E182</f>
        <v>1</v>
      </c>
      <c r="I182" s="60">
        <f>G2*B182*E182</f>
        <v>1</v>
      </c>
      <c r="J182" s="60">
        <f>G2*C182*E182</f>
        <v>1</v>
      </c>
      <c r="K182" s="60">
        <f>G2*E182</f>
        <v>1</v>
      </c>
      <c r="L182" s="60">
        <f t="shared" ref="L182:O182" si="103">L181+H182</f>
        <v>1</v>
      </c>
      <c r="M182" s="60">
        <f t="shared" si="103"/>
        <v>3</v>
      </c>
      <c r="N182" s="60">
        <f t="shared" si="103"/>
        <v>4</v>
      </c>
      <c r="O182" s="60">
        <f t="shared" si="103"/>
        <v>-5</v>
      </c>
    </row>
    <row r="183">
      <c r="A183" s="60">
        <v>1.0</v>
      </c>
      <c r="B183" s="60">
        <v>1.0</v>
      </c>
      <c r="C183" s="60">
        <v>0.0</v>
      </c>
      <c r="D183" s="60">
        <v>1.0</v>
      </c>
      <c r="E183" s="60">
        <v>-1.0</v>
      </c>
      <c r="F183" s="60">
        <f t="shared" si="104"/>
        <v>-1</v>
      </c>
      <c r="G183" s="60">
        <f>IFS(F183 &gt; G3, 1,F183 &lt;= -G3, -1, TRUE, 0)</f>
        <v>-1</v>
      </c>
      <c r="H183" s="61">
        <v>0.0</v>
      </c>
      <c r="I183" s="61">
        <v>0.0</v>
      </c>
      <c r="J183" s="61">
        <v>0.0</v>
      </c>
      <c r="K183" s="61">
        <v>0.0</v>
      </c>
      <c r="L183" s="60">
        <f t="shared" ref="L183:O183" si="105">L182</f>
        <v>1</v>
      </c>
      <c r="M183" s="60">
        <f t="shared" si="105"/>
        <v>3</v>
      </c>
      <c r="N183" s="60">
        <f t="shared" si="105"/>
        <v>4</v>
      </c>
      <c r="O183" s="60">
        <f t="shared" si="105"/>
        <v>-5</v>
      </c>
    </row>
    <row r="184">
      <c r="A184" s="60">
        <v>1.0</v>
      </c>
      <c r="B184" s="60">
        <v>0.0</v>
      </c>
      <c r="C184" s="60">
        <v>1.0</v>
      </c>
      <c r="D184" s="60">
        <v>1.0</v>
      </c>
      <c r="E184" s="60">
        <v>-1.0</v>
      </c>
      <c r="F184" s="60">
        <f t="shared" si="104"/>
        <v>0</v>
      </c>
      <c r="G184" s="60">
        <f>IFS(F184 &gt; G3, 1,F184 &lt;= -G3, -1, TRUE, 0)</f>
        <v>0</v>
      </c>
      <c r="H184" s="60">
        <f>G2*A184*E184</f>
        <v>-1</v>
      </c>
      <c r="I184" s="60">
        <f>G2*B184*E184</f>
        <v>0</v>
      </c>
      <c r="J184" s="60">
        <f>G2*C184*E184</f>
        <v>-1</v>
      </c>
      <c r="K184" s="60">
        <f>G2*E184</f>
        <v>-1</v>
      </c>
      <c r="L184" s="60">
        <f t="shared" ref="L184:O184" si="106">L183+H184</f>
        <v>0</v>
      </c>
      <c r="M184" s="60">
        <f t="shared" si="106"/>
        <v>3</v>
      </c>
      <c r="N184" s="60">
        <f t="shared" si="106"/>
        <v>3</v>
      </c>
      <c r="O184" s="60">
        <f t="shared" si="106"/>
        <v>-6</v>
      </c>
    </row>
    <row r="185">
      <c r="A185" s="60">
        <v>0.0</v>
      </c>
      <c r="B185" s="60">
        <v>1.0</v>
      </c>
      <c r="C185" s="60">
        <v>1.0</v>
      </c>
      <c r="D185" s="60">
        <v>1.0</v>
      </c>
      <c r="E185" s="60">
        <v>-1.0</v>
      </c>
      <c r="F185" s="60">
        <f>O184+(A185*L184)+(B185*M184)+(B185*M184)</f>
        <v>0</v>
      </c>
      <c r="G185" s="60">
        <f>IFS(F185 &gt; G3, 1,F185 &lt;= -G3, -1, TRUE, 0)</f>
        <v>0</v>
      </c>
      <c r="H185" s="60">
        <f>G2*A185*E185</f>
        <v>0</v>
      </c>
      <c r="I185" s="60">
        <f>G2*B185*E185</f>
        <v>-1</v>
      </c>
      <c r="J185" s="60">
        <f>G2*C185*E185</f>
        <v>-1</v>
      </c>
      <c r="K185" s="60">
        <f>G2*E185</f>
        <v>-1</v>
      </c>
      <c r="L185" s="60">
        <f t="shared" ref="L185:O185" si="107">L184+H185</f>
        <v>0</v>
      </c>
      <c r="M185" s="60">
        <f t="shared" si="107"/>
        <v>2</v>
      </c>
      <c r="N185" s="60">
        <f t="shared" si="107"/>
        <v>2</v>
      </c>
      <c r="O185" s="60">
        <f t="shared" si="107"/>
        <v>-7</v>
      </c>
    </row>
    <row r="188">
      <c r="A188" s="51" t="s">
        <v>5</v>
      </c>
      <c r="B188" s="9"/>
      <c r="C188" s="9"/>
      <c r="D188" s="10"/>
      <c r="E188" s="52" t="s">
        <v>6</v>
      </c>
      <c r="F188" s="53"/>
      <c r="G188" s="52" t="s">
        <v>7</v>
      </c>
      <c r="H188" s="54" t="s">
        <v>8</v>
      </c>
      <c r="I188" s="14"/>
      <c r="J188" s="14"/>
      <c r="K188" s="15"/>
      <c r="L188" s="54" t="s">
        <v>9</v>
      </c>
      <c r="M188" s="14"/>
      <c r="N188" s="14"/>
      <c r="O188" s="15"/>
    </row>
    <row r="189">
      <c r="A189" s="16"/>
      <c r="B189" s="17"/>
      <c r="C189" s="17"/>
      <c r="D189" s="18"/>
      <c r="E189" s="19"/>
      <c r="F189" s="19"/>
      <c r="G189" s="19"/>
      <c r="H189" s="55" t="s">
        <v>10</v>
      </c>
      <c r="I189" s="14"/>
      <c r="J189" s="15"/>
      <c r="K189" s="56" t="s">
        <v>11</v>
      </c>
      <c r="L189" s="54" t="s">
        <v>12</v>
      </c>
      <c r="M189" s="14"/>
      <c r="N189" s="15"/>
      <c r="O189" s="45" t="s">
        <v>70</v>
      </c>
    </row>
    <row r="190">
      <c r="A190" s="57" t="s">
        <v>0</v>
      </c>
      <c r="B190" s="57" t="s">
        <v>1</v>
      </c>
      <c r="C190" s="57" t="s">
        <v>39</v>
      </c>
      <c r="D190" s="57">
        <v>1.0</v>
      </c>
      <c r="E190" s="57" t="s">
        <v>2</v>
      </c>
      <c r="F190" s="57" t="s">
        <v>14</v>
      </c>
      <c r="G190" s="57" t="s">
        <v>15</v>
      </c>
      <c r="H190" s="58" t="s">
        <v>16</v>
      </c>
      <c r="I190" s="58" t="s">
        <v>17</v>
      </c>
      <c r="J190" s="58" t="s">
        <v>41</v>
      </c>
      <c r="K190" s="58" t="s">
        <v>18</v>
      </c>
      <c r="L190" s="57" t="s">
        <v>19</v>
      </c>
      <c r="M190" s="57" t="s">
        <v>20</v>
      </c>
      <c r="N190" s="57" t="s">
        <v>42</v>
      </c>
      <c r="O190" s="57" t="s">
        <v>21</v>
      </c>
    </row>
    <row r="191">
      <c r="A191" s="59" t="s">
        <v>71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60">
        <f t="shared" ref="L191:O191" si="108">L185</f>
        <v>0</v>
      </c>
      <c r="M191" s="60">
        <f t="shared" si="108"/>
        <v>2</v>
      </c>
      <c r="N191" s="60">
        <f t="shared" si="108"/>
        <v>2</v>
      </c>
      <c r="O191" s="60">
        <f t="shared" si="108"/>
        <v>-7</v>
      </c>
    </row>
    <row r="192">
      <c r="A192" s="60">
        <v>1.0</v>
      </c>
      <c r="B192" s="60">
        <v>1.0</v>
      </c>
      <c r="C192" s="60">
        <v>1.0</v>
      </c>
      <c r="D192" s="60">
        <v>1.0</v>
      </c>
      <c r="E192" s="60">
        <v>1.0</v>
      </c>
      <c r="F192" s="60">
        <f t="shared" ref="F192:F194" si="110">O191+(A192*L191)+(B192*M191)+(C192*N191)</f>
        <v>-3</v>
      </c>
      <c r="G192" s="60">
        <f>IFS(F192 &gt; G3, 1,F192 &lt;= -G3, -1, TRUE, 0)</f>
        <v>-1</v>
      </c>
      <c r="H192" s="60">
        <f>G2*A192*E192</f>
        <v>1</v>
      </c>
      <c r="I192" s="60">
        <f>G2*B192*E192</f>
        <v>1</v>
      </c>
      <c r="J192" s="60">
        <f>G2*C192*E192</f>
        <v>1</v>
      </c>
      <c r="K192" s="60">
        <f>G2*E192</f>
        <v>1</v>
      </c>
      <c r="L192" s="60">
        <f t="shared" ref="L192:O192" si="109">L191+H192</f>
        <v>1</v>
      </c>
      <c r="M192" s="60">
        <f t="shared" si="109"/>
        <v>3</v>
      </c>
      <c r="N192" s="60">
        <f t="shared" si="109"/>
        <v>3</v>
      </c>
      <c r="O192" s="60">
        <f t="shared" si="109"/>
        <v>-6</v>
      </c>
    </row>
    <row r="193">
      <c r="A193" s="60">
        <v>1.0</v>
      </c>
      <c r="B193" s="60">
        <v>1.0</v>
      </c>
      <c r="C193" s="60">
        <v>0.0</v>
      </c>
      <c r="D193" s="60">
        <v>1.0</v>
      </c>
      <c r="E193" s="60">
        <v>-1.0</v>
      </c>
      <c r="F193" s="60">
        <f t="shared" si="110"/>
        <v>-2</v>
      </c>
      <c r="G193" s="60">
        <f>IFS(F193 &gt; G3, 1,F193 &lt;= -G3, -1, TRUE, 0)</f>
        <v>-1</v>
      </c>
      <c r="H193" s="61">
        <v>0.0</v>
      </c>
      <c r="I193" s="61">
        <v>0.0</v>
      </c>
      <c r="J193" s="61">
        <v>0.0</v>
      </c>
      <c r="K193" s="61">
        <v>0.0</v>
      </c>
      <c r="L193" s="60">
        <f t="shared" ref="L193:O193" si="111">L192</f>
        <v>1</v>
      </c>
      <c r="M193" s="60">
        <f t="shared" si="111"/>
        <v>3</v>
      </c>
      <c r="N193" s="60">
        <f t="shared" si="111"/>
        <v>3</v>
      </c>
      <c r="O193" s="60">
        <f t="shared" si="111"/>
        <v>-6</v>
      </c>
    </row>
    <row r="194">
      <c r="A194" s="60">
        <v>1.0</v>
      </c>
      <c r="B194" s="60">
        <v>0.0</v>
      </c>
      <c r="C194" s="60">
        <v>1.0</v>
      </c>
      <c r="D194" s="60">
        <v>1.0</v>
      </c>
      <c r="E194" s="60">
        <v>-1.0</v>
      </c>
      <c r="F194" s="60">
        <f t="shared" si="110"/>
        <v>-2</v>
      </c>
      <c r="G194" s="60">
        <f>IFS(F194 &gt; G3, 1,F194 &lt;= -G3, -1, TRUE, 0)</f>
        <v>-1</v>
      </c>
      <c r="H194" s="61">
        <v>0.0</v>
      </c>
      <c r="I194" s="61">
        <v>0.0</v>
      </c>
      <c r="J194" s="61">
        <v>0.0</v>
      </c>
      <c r="K194" s="61">
        <v>0.0</v>
      </c>
      <c r="L194" s="60">
        <f t="shared" ref="L194:O194" si="112">L193</f>
        <v>1</v>
      </c>
      <c r="M194" s="60">
        <f t="shared" si="112"/>
        <v>3</v>
      </c>
      <c r="N194" s="60">
        <f t="shared" si="112"/>
        <v>3</v>
      </c>
      <c r="O194" s="60">
        <f t="shared" si="112"/>
        <v>-6</v>
      </c>
    </row>
    <row r="195">
      <c r="A195" s="60">
        <v>0.0</v>
      </c>
      <c r="B195" s="60">
        <v>1.0</v>
      </c>
      <c r="C195" s="60">
        <v>1.0</v>
      </c>
      <c r="D195" s="60">
        <v>1.0</v>
      </c>
      <c r="E195" s="60">
        <v>-1.0</v>
      </c>
      <c r="F195" s="60">
        <f>O194+(A195*L194)+(B195*M194)+(B195*M194)</f>
        <v>0</v>
      </c>
      <c r="G195" s="60">
        <f>IFS(F195 &gt; G3, 1,F195 &lt;= -G3, -1, TRUE, 0)</f>
        <v>0</v>
      </c>
      <c r="H195" s="60">
        <f>G2*A195*E195</f>
        <v>0</v>
      </c>
      <c r="I195" s="60">
        <f>G2*B195*E195</f>
        <v>-1</v>
      </c>
      <c r="J195" s="60">
        <f>G2*C195*E195</f>
        <v>-1</v>
      </c>
      <c r="K195" s="60">
        <f>G2*E195</f>
        <v>-1</v>
      </c>
      <c r="L195" s="60">
        <f t="shared" ref="L195:O195" si="113">L194+H195</f>
        <v>1</v>
      </c>
      <c r="M195" s="60">
        <f t="shared" si="113"/>
        <v>2</v>
      </c>
      <c r="N195" s="60">
        <f t="shared" si="113"/>
        <v>2</v>
      </c>
      <c r="O195" s="60">
        <f t="shared" si="113"/>
        <v>-7</v>
      </c>
    </row>
    <row r="198">
      <c r="A198" s="51" t="s">
        <v>5</v>
      </c>
      <c r="B198" s="9"/>
      <c r="C198" s="9"/>
      <c r="D198" s="10"/>
      <c r="E198" s="52" t="s">
        <v>6</v>
      </c>
      <c r="F198" s="53"/>
      <c r="G198" s="52" t="s">
        <v>7</v>
      </c>
      <c r="H198" s="54" t="s">
        <v>8</v>
      </c>
      <c r="I198" s="14"/>
      <c r="J198" s="14"/>
      <c r="K198" s="15"/>
      <c r="L198" s="54" t="s">
        <v>9</v>
      </c>
      <c r="M198" s="14"/>
      <c r="N198" s="14"/>
      <c r="O198" s="15"/>
    </row>
    <row r="199">
      <c r="A199" s="16"/>
      <c r="B199" s="17"/>
      <c r="C199" s="17"/>
      <c r="D199" s="18"/>
      <c r="E199" s="19"/>
      <c r="F199" s="19"/>
      <c r="G199" s="19"/>
      <c r="H199" s="55" t="s">
        <v>10</v>
      </c>
      <c r="I199" s="14"/>
      <c r="J199" s="15"/>
      <c r="K199" s="56" t="s">
        <v>11</v>
      </c>
      <c r="L199" s="54" t="s">
        <v>12</v>
      </c>
      <c r="M199" s="14"/>
      <c r="N199" s="15"/>
      <c r="O199" s="45" t="s">
        <v>72</v>
      </c>
    </row>
    <row r="200">
      <c r="A200" s="57" t="s">
        <v>0</v>
      </c>
      <c r="B200" s="57" t="s">
        <v>1</v>
      </c>
      <c r="C200" s="57" t="s">
        <v>39</v>
      </c>
      <c r="D200" s="57">
        <v>1.0</v>
      </c>
      <c r="E200" s="57" t="s">
        <v>2</v>
      </c>
      <c r="F200" s="57" t="s">
        <v>14</v>
      </c>
      <c r="G200" s="57" t="s">
        <v>15</v>
      </c>
      <c r="H200" s="58" t="s">
        <v>16</v>
      </c>
      <c r="I200" s="58" t="s">
        <v>17</v>
      </c>
      <c r="J200" s="58" t="s">
        <v>41</v>
      </c>
      <c r="K200" s="58" t="s">
        <v>18</v>
      </c>
      <c r="L200" s="57" t="s">
        <v>19</v>
      </c>
      <c r="M200" s="57" t="s">
        <v>20</v>
      </c>
      <c r="N200" s="57" t="s">
        <v>42</v>
      </c>
      <c r="O200" s="57" t="s">
        <v>21</v>
      </c>
    </row>
    <row r="201">
      <c r="A201" s="59" t="s">
        <v>73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60">
        <f t="shared" ref="L201:O201" si="114">L195</f>
        <v>1</v>
      </c>
      <c r="M201" s="60">
        <f t="shared" si="114"/>
        <v>2</v>
      </c>
      <c r="N201" s="60">
        <f t="shared" si="114"/>
        <v>2</v>
      </c>
      <c r="O201" s="60">
        <f t="shared" si="114"/>
        <v>-7</v>
      </c>
    </row>
    <row r="202">
      <c r="A202" s="60">
        <v>1.0</v>
      </c>
      <c r="B202" s="60">
        <v>1.0</v>
      </c>
      <c r="C202" s="60">
        <v>1.0</v>
      </c>
      <c r="D202" s="60">
        <v>1.0</v>
      </c>
      <c r="E202" s="60">
        <v>1.0</v>
      </c>
      <c r="F202" s="60">
        <f t="shared" ref="F202:F204" si="116">O201+(A202*L201)+(B202*M201)+(C202*N201)</f>
        <v>-2</v>
      </c>
      <c r="G202" s="60">
        <f>IFS(F202 &gt; G3, 1,F202 &lt;= -G3, -1, TRUE, 0)</f>
        <v>-1</v>
      </c>
      <c r="H202" s="60">
        <f>G2*A202*E202</f>
        <v>1</v>
      </c>
      <c r="I202" s="60">
        <f>G2*B202*E202</f>
        <v>1</v>
      </c>
      <c r="J202" s="60">
        <f>G2*C202*E202</f>
        <v>1</v>
      </c>
      <c r="K202" s="60">
        <f>G2*E202</f>
        <v>1</v>
      </c>
      <c r="L202" s="60">
        <f t="shared" ref="L202:O202" si="115">L201+H202</f>
        <v>2</v>
      </c>
      <c r="M202" s="60">
        <f t="shared" si="115"/>
        <v>3</v>
      </c>
      <c r="N202" s="60">
        <f t="shared" si="115"/>
        <v>3</v>
      </c>
      <c r="O202" s="60">
        <f t="shared" si="115"/>
        <v>-6</v>
      </c>
    </row>
    <row r="203">
      <c r="A203" s="60">
        <v>1.0</v>
      </c>
      <c r="B203" s="60">
        <v>1.0</v>
      </c>
      <c r="C203" s="60">
        <v>0.0</v>
      </c>
      <c r="D203" s="60">
        <v>1.0</v>
      </c>
      <c r="E203" s="60">
        <v>-1.0</v>
      </c>
      <c r="F203" s="60">
        <f t="shared" si="116"/>
        <v>-1</v>
      </c>
      <c r="G203" s="60">
        <f>IFS(F203 &gt; G3, 1,F203 &lt;= -G3, -1, TRUE, 0)</f>
        <v>-1</v>
      </c>
      <c r="H203" s="61">
        <v>0.0</v>
      </c>
      <c r="I203" s="61">
        <v>0.0</v>
      </c>
      <c r="J203" s="61">
        <v>0.0</v>
      </c>
      <c r="K203" s="61">
        <v>0.0</v>
      </c>
      <c r="L203" s="60">
        <f t="shared" ref="L203:O203" si="117">L202</f>
        <v>2</v>
      </c>
      <c r="M203" s="60">
        <f t="shared" si="117"/>
        <v>3</v>
      </c>
      <c r="N203" s="60">
        <f t="shared" si="117"/>
        <v>3</v>
      </c>
      <c r="O203" s="60">
        <f t="shared" si="117"/>
        <v>-6</v>
      </c>
    </row>
    <row r="204">
      <c r="A204" s="60">
        <v>1.0</v>
      </c>
      <c r="B204" s="60">
        <v>0.0</v>
      </c>
      <c r="C204" s="60">
        <v>1.0</v>
      </c>
      <c r="D204" s="60">
        <v>1.0</v>
      </c>
      <c r="E204" s="60">
        <v>-1.0</v>
      </c>
      <c r="F204" s="60">
        <f t="shared" si="116"/>
        <v>-1</v>
      </c>
      <c r="G204" s="60">
        <f>IFS(F204 &gt; G3, 1,F204 &lt;= -G3, -1, TRUE, 0)</f>
        <v>-1</v>
      </c>
      <c r="H204" s="61">
        <v>0.0</v>
      </c>
      <c r="I204" s="61">
        <v>0.0</v>
      </c>
      <c r="J204" s="61">
        <v>0.0</v>
      </c>
      <c r="K204" s="61">
        <v>0.0</v>
      </c>
      <c r="L204" s="60">
        <f t="shared" ref="L204:O204" si="118">L203</f>
        <v>2</v>
      </c>
      <c r="M204" s="60">
        <f t="shared" si="118"/>
        <v>3</v>
      </c>
      <c r="N204" s="60">
        <f t="shared" si="118"/>
        <v>3</v>
      </c>
      <c r="O204" s="60">
        <f t="shared" si="118"/>
        <v>-6</v>
      </c>
    </row>
    <row r="205">
      <c r="A205" s="60">
        <v>0.0</v>
      </c>
      <c r="B205" s="60">
        <v>1.0</v>
      </c>
      <c r="C205" s="60">
        <v>1.0</v>
      </c>
      <c r="D205" s="60">
        <v>1.0</v>
      </c>
      <c r="E205" s="60">
        <v>-1.0</v>
      </c>
      <c r="F205" s="60">
        <f>O204+(A205*L204)+(B205*M204)+(B205*M204)</f>
        <v>0</v>
      </c>
      <c r="G205" s="60">
        <f>IFS(F205 &gt; G3, 1,F205 &lt;= -G3, -1, TRUE, 0)</f>
        <v>0</v>
      </c>
      <c r="H205" s="60">
        <f>G2*A205*E205</f>
        <v>0</v>
      </c>
      <c r="I205" s="60">
        <f>G2*B205*E205</f>
        <v>-1</v>
      </c>
      <c r="J205" s="60">
        <f>G2*C205*E205</f>
        <v>-1</v>
      </c>
      <c r="K205" s="60">
        <f>G2*E205</f>
        <v>-1</v>
      </c>
      <c r="L205" s="60">
        <f t="shared" ref="L205:O205" si="119">L204+H205</f>
        <v>2</v>
      </c>
      <c r="M205" s="60">
        <f t="shared" si="119"/>
        <v>2</v>
      </c>
      <c r="N205" s="60">
        <f t="shared" si="119"/>
        <v>2</v>
      </c>
      <c r="O205" s="60">
        <f t="shared" si="119"/>
        <v>-7</v>
      </c>
    </row>
    <row r="208">
      <c r="A208" s="51" t="s">
        <v>5</v>
      </c>
      <c r="B208" s="9"/>
      <c r="C208" s="9"/>
      <c r="D208" s="10"/>
      <c r="E208" s="52" t="s">
        <v>6</v>
      </c>
      <c r="F208" s="53"/>
      <c r="G208" s="52" t="s">
        <v>7</v>
      </c>
      <c r="H208" s="54" t="s">
        <v>8</v>
      </c>
      <c r="I208" s="14"/>
      <c r="J208" s="14"/>
      <c r="K208" s="15"/>
      <c r="L208" s="54" t="s">
        <v>9</v>
      </c>
      <c r="M208" s="14"/>
      <c r="N208" s="14"/>
      <c r="O208" s="15"/>
    </row>
    <row r="209">
      <c r="A209" s="16"/>
      <c r="B209" s="17"/>
      <c r="C209" s="17"/>
      <c r="D209" s="18"/>
      <c r="E209" s="19"/>
      <c r="F209" s="19"/>
      <c r="G209" s="19"/>
      <c r="H209" s="55" t="s">
        <v>10</v>
      </c>
      <c r="I209" s="14"/>
      <c r="J209" s="15"/>
      <c r="K209" s="56" t="s">
        <v>11</v>
      </c>
      <c r="L209" s="54" t="s">
        <v>12</v>
      </c>
      <c r="M209" s="14"/>
      <c r="N209" s="15"/>
      <c r="O209" s="45" t="s">
        <v>74</v>
      </c>
    </row>
    <row r="210">
      <c r="A210" s="57" t="s">
        <v>0</v>
      </c>
      <c r="B210" s="57" t="s">
        <v>1</v>
      </c>
      <c r="C210" s="57" t="s">
        <v>39</v>
      </c>
      <c r="D210" s="57">
        <v>1.0</v>
      </c>
      <c r="E210" s="57" t="s">
        <v>2</v>
      </c>
      <c r="F210" s="57" t="s">
        <v>14</v>
      </c>
      <c r="G210" s="57" t="s">
        <v>15</v>
      </c>
      <c r="H210" s="58" t="s">
        <v>16</v>
      </c>
      <c r="I210" s="58" t="s">
        <v>17</v>
      </c>
      <c r="J210" s="58" t="s">
        <v>41</v>
      </c>
      <c r="K210" s="58" t="s">
        <v>18</v>
      </c>
      <c r="L210" s="57" t="s">
        <v>19</v>
      </c>
      <c r="M210" s="57" t="s">
        <v>20</v>
      </c>
      <c r="N210" s="57" t="s">
        <v>42</v>
      </c>
      <c r="O210" s="57" t="s">
        <v>21</v>
      </c>
    </row>
    <row r="211">
      <c r="A211" s="59" t="s">
        <v>75</v>
      </c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60">
        <f t="shared" ref="L211:O211" si="120">L205</f>
        <v>2</v>
      </c>
      <c r="M211" s="60">
        <f t="shared" si="120"/>
        <v>2</v>
      </c>
      <c r="N211" s="60">
        <f t="shared" si="120"/>
        <v>2</v>
      </c>
      <c r="O211" s="60">
        <f t="shared" si="120"/>
        <v>-7</v>
      </c>
    </row>
    <row r="212">
      <c r="A212" s="60">
        <v>1.0</v>
      </c>
      <c r="B212" s="60">
        <v>1.0</v>
      </c>
      <c r="C212" s="60">
        <v>1.0</v>
      </c>
      <c r="D212" s="60">
        <v>1.0</v>
      </c>
      <c r="E212" s="60">
        <v>1.0</v>
      </c>
      <c r="F212" s="60">
        <f t="shared" ref="F212:F214" si="122">O211+(A212*L211)+(B212*M211)+(C212*N211)</f>
        <v>-1</v>
      </c>
      <c r="G212" s="60">
        <f>IFS(F212 &gt; G3, 1,F212 &lt;= -G3, -1, TRUE, 0)</f>
        <v>-1</v>
      </c>
      <c r="H212" s="60">
        <f>G2*A212*E212</f>
        <v>1</v>
      </c>
      <c r="I212" s="60">
        <f>G2*B212*E212</f>
        <v>1</v>
      </c>
      <c r="J212" s="60">
        <f>G2*C212*E212</f>
        <v>1</v>
      </c>
      <c r="K212" s="60">
        <f>G2*E212</f>
        <v>1</v>
      </c>
      <c r="L212" s="60">
        <f t="shared" ref="L212:O212" si="121">L211+H212</f>
        <v>3</v>
      </c>
      <c r="M212" s="60">
        <f t="shared" si="121"/>
        <v>3</v>
      </c>
      <c r="N212" s="60">
        <f t="shared" si="121"/>
        <v>3</v>
      </c>
      <c r="O212" s="60">
        <f t="shared" si="121"/>
        <v>-6</v>
      </c>
    </row>
    <row r="213">
      <c r="A213" s="60">
        <v>1.0</v>
      </c>
      <c r="B213" s="60">
        <v>1.0</v>
      </c>
      <c r="C213" s="60">
        <v>0.0</v>
      </c>
      <c r="D213" s="60">
        <v>1.0</v>
      </c>
      <c r="E213" s="60">
        <v>-1.0</v>
      </c>
      <c r="F213" s="60">
        <f t="shared" si="122"/>
        <v>0</v>
      </c>
      <c r="G213" s="60">
        <f>IFS(F213 &gt; G3, 1,F213 &lt;= -G3, -1, TRUE, 0)</f>
        <v>0</v>
      </c>
      <c r="H213" s="60">
        <f>G2*A213*E213</f>
        <v>-1</v>
      </c>
      <c r="I213" s="60">
        <f>G2*B213*E213</f>
        <v>-1</v>
      </c>
      <c r="J213" s="60">
        <f>G2*C213*E213</f>
        <v>0</v>
      </c>
      <c r="K213" s="60">
        <f>G2*E213</f>
        <v>-1</v>
      </c>
      <c r="L213" s="60">
        <f t="shared" ref="L213:O213" si="123">L212+H213</f>
        <v>2</v>
      </c>
      <c r="M213" s="60">
        <f t="shared" si="123"/>
        <v>2</v>
      </c>
      <c r="N213" s="60">
        <f t="shared" si="123"/>
        <v>3</v>
      </c>
      <c r="O213" s="60">
        <f t="shared" si="123"/>
        <v>-7</v>
      </c>
    </row>
    <row r="214">
      <c r="A214" s="60">
        <v>1.0</v>
      </c>
      <c r="B214" s="60">
        <v>0.0</v>
      </c>
      <c r="C214" s="60">
        <v>1.0</v>
      </c>
      <c r="D214" s="60">
        <v>1.0</v>
      </c>
      <c r="E214" s="60">
        <v>-1.0</v>
      </c>
      <c r="F214" s="60">
        <f t="shared" si="122"/>
        <v>-2</v>
      </c>
      <c r="G214" s="60">
        <f>IFS(F214 &gt; G3, 1,F214 &lt;= -G3, -1, TRUE, 0)</f>
        <v>-1</v>
      </c>
      <c r="H214" s="61">
        <v>0.0</v>
      </c>
      <c r="I214" s="61">
        <v>0.0</v>
      </c>
      <c r="J214" s="61">
        <v>0.0</v>
      </c>
      <c r="K214" s="61">
        <v>0.0</v>
      </c>
      <c r="L214" s="60">
        <f t="shared" ref="L214:O214" si="124">L213</f>
        <v>2</v>
      </c>
      <c r="M214" s="60">
        <f t="shared" si="124"/>
        <v>2</v>
      </c>
      <c r="N214" s="60">
        <f t="shared" si="124"/>
        <v>3</v>
      </c>
      <c r="O214" s="60">
        <f t="shared" si="124"/>
        <v>-7</v>
      </c>
    </row>
    <row r="215">
      <c r="A215" s="60">
        <v>0.0</v>
      </c>
      <c r="B215" s="60">
        <v>1.0</v>
      </c>
      <c r="C215" s="60">
        <v>1.0</v>
      </c>
      <c r="D215" s="60">
        <v>1.0</v>
      </c>
      <c r="E215" s="60">
        <v>-1.0</v>
      </c>
      <c r="F215" s="60">
        <f>O214+(A215*L214)+(B215*M214)+(B215*M214)</f>
        <v>-3</v>
      </c>
      <c r="G215" s="60">
        <f>IFS(F215 &gt; G3, 1,F215 &lt;= -G3, -1, TRUE, 0)</f>
        <v>-1</v>
      </c>
      <c r="H215" s="61">
        <v>0.0</v>
      </c>
      <c r="I215" s="61">
        <v>0.0</v>
      </c>
      <c r="J215" s="61">
        <v>0.0</v>
      </c>
      <c r="K215" s="61">
        <v>0.0</v>
      </c>
      <c r="L215" s="60">
        <f t="shared" ref="L215:O215" si="125">L214</f>
        <v>2</v>
      </c>
      <c r="M215" s="60">
        <f t="shared" si="125"/>
        <v>2</v>
      </c>
      <c r="N215" s="60">
        <f t="shared" si="125"/>
        <v>3</v>
      </c>
      <c r="O215" s="60">
        <f t="shared" si="125"/>
        <v>-7</v>
      </c>
    </row>
    <row r="218">
      <c r="A218" s="51" t="s">
        <v>5</v>
      </c>
      <c r="B218" s="9"/>
      <c r="C218" s="9"/>
      <c r="D218" s="10"/>
      <c r="E218" s="52" t="s">
        <v>6</v>
      </c>
      <c r="F218" s="53"/>
      <c r="G218" s="52" t="s">
        <v>7</v>
      </c>
      <c r="H218" s="54" t="s">
        <v>8</v>
      </c>
      <c r="I218" s="14"/>
      <c r="J218" s="14"/>
      <c r="K218" s="15"/>
      <c r="L218" s="54" t="s">
        <v>9</v>
      </c>
      <c r="M218" s="14"/>
      <c r="N218" s="14"/>
      <c r="O218" s="15"/>
    </row>
    <row r="219">
      <c r="A219" s="16"/>
      <c r="B219" s="17"/>
      <c r="C219" s="17"/>
      <c r="D219" s="18"/>
      <c r="E219" s="19"/>
      <c r="F219" s="19"/>
      <c r="G219" s="19"/>
      <c r="H219" s="55" t="s">
        <v>10</v>
      </c>
      <c r="I219" s="14"/>
      <c r="J219" s="15"/>
      <c r="K219" s="56" t="s">
        <v>11</v>
      </c>
      <c r="L219" s="54" t="s">
        <v>12</v>
      </c>
      <c r="M219" s="14"/>
      <c r="N219" s="15"/>
      <c r="O219" s="45" t="s">
        <v>76</v>
      </c>
    </row>
    <row r="220">
      <c r="A220" s="57" t="s">
        <v>0</v>
      </c>
      <c r="B220" s="57" t="s">
        <v>1</v>
      </c>
      <c r="C220" s="57" t="s">
        <v>39</v>
      </c>
      <c r="D220" s="57">
        <v>1.0</v>
      </c>
      <c r="E220" s="57" t="s">
        <v>2</v>
      </c>
      <c r="F220" s="57" t="s">
        <v>14</v>
      </c>
      <c r="G220" s="57" t="s">
        <v>15</v>
      </c>
      <c r="H220" s="58" t="s">
        <v>16</v>
      </c>
      <c r="I220" s="58" t="s">
        <v>17</v>
      </c>
      <c r="J220" s="58" t="s">
        <v>41</v>
      </c>
      <c r="K220" s="58" t="s">
        <v>18</v>
      </c>
      <c r="L220" s="57" t="s">
        <v>19</v>
      </c>
      <c r="M220" s="57" t="s">
        <v>20</v>
      </c>
      <c r="N220" s="57" t="s">
        <v>42</v>
      </c>
      <c r="O220" s="57" t="s">
        <v>21</v>
      </c>
    </row>
    <row r="221">
      <c r="A221" s="59" t="s">
        <v>77</v>
      </c>
      <c r="B221" s="14"/>
      <c r="C221" s="14"/>
      <c r="D221" s="14"/>
      <c r="E221" s="14"/>
      <c r="F221" s="14"/>
      <c r="G221" s="14"/>
      <c r="H221" s="14"/>
      <c r="I221" s="14"/>
      <c r="J221" s="14"/>
      <c r="K221" s="15"/>
      <c r="L221" s="60">
        <f t="shared" ref="L221:O221" si="126">L215</f>
        <v>2</v>
      </c>
      <c r="M221" s="60">
        <f t="shared" si="126"/>
        <v>2</v>
      </c>
      <c r="N221" s="60">
        <f t="shared" si="126"/>
        <v>3</v>
      </c>
      <c r="O221" s="60">
        <f t="shared" si="126"/>
        <v>-7</v>
      </c>
    </row>
    <row r="222">
      <c r="A222" s="60">
        <v>1.0</v>
      </c>
      <c r="B222" s="60">
        <v>1.0</v>
      </c>
      <c r="C222" s="60">
        <v>1.0</v>
      </c>
      <c r="D222" s="60">
        <v>1.0</v>
      </c>
      <c r="E222" s="60">
        <v>1.0</v>
      </c>
      <c r="F222" s="60">
        <f t="shared" ref="F222:F224" si="128">O221+(A222*L221)+(B222*M221)+(C222*N221)</f>
        <v>0</v>
      </c>
      <c r="G222" s="60">
        <f>IFS(F222 &gt; G3, 1,F222 &lt;= -G3, -1, TRUE, 0)</f>
        <v>0</v>
      </c>
      <c r="H222" s="60">
        <f>G2*A222*E222</f>
        <v>1</v>
      </c>
      <c r="I222" s="60">
        <f>G2*B222*E222</f>
        <v>1</v>
      </c>
      <c r="J222" s="60">
        <f>G2*C222*E222</f>
        <v>1</v>
      </c>
      <c r="K222" s="60">
        <f>G2*E222</f>
        <v>1</v>
      </c>
      <c r="L222" s="60">
        <f t="shared" ref="L222:O222" si="127">L221+H222</f>
        <v>3</v>
      </c>
      <c r="M222" s="60">
        <f t="shared" si="127"/>
        <v>3</v>
      </c>
      <c r="N222" s="60">
        <f t="shared" si="127"/>
        <v>4</v>
      </c>
      <c r="O222" s="60">
        <f t="shared" si="127"/>
        <v>-6</v>
      </c>
    </row>
    <row r="223">
      <c r="A223" s="60">
        <v>1.0</v>
      </c>
      <c r="B223" s="60">
        <v>1.0</v>
      </c>
      <c r="C223" s="60">
        <v>0.0</v>
      </c>
      <c r="D223" s="60">
        <v>1.0</v>
      </c>
      <c r="E223" s="60">
        <v>-1.0</v>
      </c>
      <c r="F223" s="60">
        <f t="shared" si="128"/>
        <v>0</v>
      </c>
      <c r="G223" s="60">
        <f>IFS(F223 &gt; G3, 1,F223 &lt;= -G3, -1, TRUE, 0)</f>
        <v>0</v>
      </c>
      <c r="H223" s="60">
        <f>G2*A223*E223</f>
        <v>-1</v>
      </c>
      <c r="I223" s="60">
        <f>G2*B223*E223</f>
        <v>-1</v>
      </c>
      <c r="J223" s="60">
        <f>G2*C223*E223</f>
        <v>0</v>
      </c>
      <c r="K223" s="60">
        <f>G2*E223</f>
        <v>-1</v>
      </c>
      <c r="L223" s="60">
        <f t="shared" ref="L223:O223" si="129">L222+H223</f>
        <v>2</v>
      </c>
      <c r="M223" s="60">
        <f t="shared" si="129"/>
        <v>2</v>
      </c>
      <c r="N223" s="60">
        <f t="shared" si="129"/>
        <v>4</v>
      </c>
      <c r="O223" s="60">
        <f t="shared" si="129"/>
        <v>-7</v>
      </c>
    </row>
    <row r="224">
      <c r="A224" s="60">
        <v>1.0</v>
      </c>
      <c r="B224" s="60">
        <v>0.0</v>
      </c>
      <c r="C224" s="60">
        <v>1.0</v>
      </c>
      <c r="D224" s="60">
        <v>1.0</v>
      </c>
      <c r="E224" s="60">
        <v>-1.0</v>
      </c>
      <c r="F224" s="60">
        <f t="shared" si="128"/>
        <v>-1</v>
      </c>
      <c r="G224" s="60">
        <f>IFS(F224 &gt; G3, 1,F224 &lt;= -G3, -1, TRUE, 0)</f>
        <v>-1</v>
      </c>
      <c r="H224" s="61">
        <v>0.0</v>
      </c>
      <c r="I224" s="61">
        <v>0.0</v>
      </c>
      <c r="J224" s="61">
        <v>0.0</v>
      </c>
      <c r="K224" s="61">
        <v>0.0</v>
      </c>
      <c r="L224" s="60">
        <f t="shared" ref="L224:O224" si="130">L223</f>
        <v>2</v>
      </c>
      <c r="M224" s="60">
        <f t="shared" si="130"/>
        <v>2</v>
      </c>
      <c r="N224" s="60">
        <f t="shared" si="130"/>
        <v>4</v>
      </c>
      <c r="O224" s="60">
        <f t="shared" si="130"/>
        <v>-7</v>
      </c>
    </row>
    <row r="225">
      <c r="A225" s="60">
        <v>0.0</v>
      </c>
      <c r="B225" s="60">
        <v>1.0</v>
      </c>
      <c r="C225" s="60">
        <v>1.0</v>
      </c>
      <c r="D225" s="60">
        <v>1.0</v>
      </c>
      <c r="E225" s="60">
        <v>-1.0</v>
      </c>
      <c r="F225" s="60">
        <f>O224+(A225*L224)+(B225*M224)+(B225*M224)</f>
        <v>-3</v>
      </c>
      <c r="G225" s="60">
        <f>IFS(F225 &gt; G3, 1,F225 &lt;= -G3, -1, TRUE, 0)</f>
        <v>-1</v>
      </c>
      <c r="H225" s="62">
        <v>0.0</v>
      </c>
      <c r="I225" s="61">
        <v>0.0</v>
      </c>
      <c r="J225" s="61">
        <v>0.0</v>
      </c>
      <c r="K225" s="61">
        <v>0.0</v>
      </c>
      <c r="L225" s="60">
        <f t="shared" ref="L225:O225" si="131">L224</f>
        <v>2</v>
      </c>
      <c r="M225" s="60">
        <f t="shared" si="131"/>
        <v>2</v>
      </c>
      <c r="N225" s="60">
        <f t="shared" si="131"/>
        <v>4</v>
      </c>
      <c r="O225" s="60">
        <f t="shared" si="131"/>
        <v>-7</v>
      </c>
    </row>
    <row r="226">
      <c r="H226" s="63"/>
    </row>
    <row r="228">
      <c r="A228" s="64" t="s">
        <v>5</v>
      </c>
      <c r="B228" s="9"/>
      <c r="C228" s="9"/>
      <c r="D228" s="10"/>
      <c r="E228" s="65" t="s">
        <v>6</v>
      </c>
      <c r="F228" s="66"/>
      <c r="G228" s="65" t="s">
        <v>7</v>
      </c>
      <c r="H228" s="67" t="s">
        <v>8</v>
      </c>
      <c r="I228" s="14"/>
      <c r="J228" s="14"/>
      <c r="K228" s="15"/>
      <c r="L228" s="67" t="s">
        <v>9</v>
      </c>
      <c r="M228" s="14"/>
      <c r="N228" s="14"/>
      <c r="O228" s="15"/>
    </row>
    <row r="229">
      <c r="A229" s="16"/>
      <c r="B229" s="17"/>
      <c r="C229" s="17"/>
      <c r="D229" s="18"/>
      <c r="E229" s="19"/>
      <c r="F229" s="19"/>
      <c r="G229" s="19"/>
      <c r="H229" s="68" t="s">
        <v>10</v>
      </c>
      <c r="I229" s="14"/>
      <c r="J229" s="15"/>
      <c r="K229" s="69" t="s">
        <v>11</v>
      </c>
      <c r="L229" s="67" t="s">
        <v>12</v>
      </c>
      <c r="M229" s="14"/>
      <c r="N229" s="15"/>
      <c r="O229" s="70" t="s">
        <v>78</v>
      </c>
    </row>
    <row r="230">
      <c r="A230" s="71" t="s">
        <v>0</v>
      </c>
      <c r="B230" s="71" t="s">
        <v>1</v>
      </c>
      <c r="C230" s="71" t="s">
        <v>39</v>
      </c>
      <c r="D230" s="71">
        <v>1.0</v>
      </c>
      <c r="E230" s="71" t="s">
        <v>2</v>
      </c>
      <c r="F230" s="71" t="s">
        <v>14</v>
      </c>
      <c r="G230" s="71" t="s">
        <v>15</v>
      </c>
      <c r="H230" s="72" t="s">
        <v>16</v>
      </c>
      <c r="I230" s="72" t="s">
        <v>17</v>
      </c>
      <c r="J230" s="72" t="s">
        <v>41</v>
      </c>
      <c r="K230" s="72" t="s">
        <v>18</v>
      </c>
      <c r="L230" s="71" t="s">
        <v>19</v>
      </c>
      <c r="M230" s="71" t="s">
        <v>20</v>
      </c>
      <c r="N230" s="71" t="s">
        <v>42</v>
      </c>
      <c r="O230" s="71" t="s">
        <v>21</v>
      </c>
    </row>
    <row r="231">
      <c r="A231" s="59" t="s">
        <v>79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60">
        <f t="shared" ref="L231:O231" si="132">L225</f>
        <v>2</v>
      </c>
      <c r="M231" s="60">
        <f t="shared" si="132"/>
        <v>2</v>
      </c>
      <c r="N231" s="60">
        <f t="shared" si="132"/>
        <v>4</v>
      </c>
      <c r="O231" s="60">
        <f t="shared" si="132"/>
        <v>-7</v>
      </c>
    </row>
    <row r="232">
      <c r="A232" s="60">
        <v>1.0</v>
      </c>
      <c r="B232" s="60">
        <v>1.0</v>
      </c>
      <c r="C232" s="60">
        <v>1.0</v>
      </c>
      <c r="D232" s="60">
        <v>1.0</v>
      </c>
      <c r="E232" s="60">
        <v>1.0</v>
      </c>
      <c r="F232" s="60">
        <f t="shared" ref="F232:F234" si="134">O231+(A232*L231)+(B232*M231)+(C232*N231)</f>
        <v>1</v>
      </c>
      <c r="G232" s="60">
        <f>IFS(F232 &gt; G3, 1,F232 &lt;= -G3, -1, TRUE, 0)</f>
        <v>1</v>
      </c>
      <c r="H232" s="61">
        <v>0.0</v>
      </c>
      <c r="I232" s="61">
        <v>0.0</v>
      </c>
      <c r="J232" s="61">
        <v>0.0</v>
      </c>
      <c r="K232" s="61">
        <v>0.0</v>
      </c>
      <c r="L232" s="60">
        <f t="shared" ref="L232:O232" si="133">L231</f>
        <v>2</v>
      </c>
      <c r="M232" s="60">
        <f t="shared" si="133"/>
        <v>2</v>
      </c>
      <c r="N232" s="60">
        <f t="shared" si="133"/>
        <v>4</v>
      </c>
      <c r="O232" s="60">
        <f t="shared" si="133"/>
        <v>-7</v>
      </c>
    </row>
    <row r="233">
      <c r="A233" s="60">
        <v>1.0</v>
      </c>
      <c r="B233" s="60">
        <v>1.0</v>
      </c>
      <c r="C233" s="60">
        <v>0.0</v>
      </c>
      <c r="D233" s="60">
        <v>1.0</v>
      </c>
      <c r="E233" s="60">
        <v>-1.0</v>
      </c>
      <c r="F233" s="60">
        <f t="shared" si="134"/>
        <v>-3</v>
      </c>
      <c r="G233" s="60">
        <f>IFS(F233 &gt; G3, 1,F233 &lt;= -G3, -1, TRUE, 0)</f>
        <v>-1</v>
      </c>
      <c r="H233" s="61">
        <v>0.0</v>
      </c>
      <c r="I233" s="61">
        <v>0.0</v>
      </c>
      <c r="J233" s="61">
        <v>0.0</v>
      </c>
      <c r="K233" s="61">
        <v>0.0</v>
      </c>
      <c r="L233" s="60">
        <f t="shared" ref="L233:O233" si="135">L232</f>
        <v>2</v>
      </c>
      <c r="M233" s="60">
        <f t="shared" si="135"/>
        <v>2</v>
      </c>
      <c r="N233" s="60">
        <f t="shared" si="135"/>
        <v>4</v>
      </c>
      <c r="O233" s="60">
        <f t="shared" si="135"/>
        <v>-7</v>
      </c>
    </row>
    <row r="234">
      <c r="A234" s="60">
        <v>1.0</v>
      </c>
      <c r="B234" s="60">
        <v>0.0</v>
      </c>
      <c r="C234" s="60">
        <v>1.0</v>
      </c>
      <c r="D234" s="60">
        <v>1.0</v>
      </c>
      <c r="E234" s="60">
        <v>-1.0</v>
      </c>
      <c r="F234" s="60">
        <f t="shared" si="134"/>
        <v>-1</v>
      </c>
      <c r="G234" s="60">
        <f>IFS(F234 &gt; G3, 1,F234 &lt;= -G3, -1, TRUE, 0)</f>
        <v>-1</v>
      </c>
      <c r="H234" s="61">
        <v>0.0</v>
      </c>
      <c r="I234" s="61">
        <v>0.0</v>
      </c>
      <c r="J234" s="61">
        <v>0.0</v>
      </c>
      <c r="K234" s="61">
        <v>0.0</v>
      </c>
      <c r="L234" s="60">
        <f t="shared" ref="L234:O234" si="136">L233</f>
        <v>2</v>
      </c>
      <c r="M234" s="60">
        <f t="shared" si="136"/>
        <v>2</v>
      </c>
      <c r="N234" s="60">
        <f t="shared" si="136"/>
        <v>4</v>
      </c>
      <c r="O234" s="60">
        <f t="shared" si="136"/>
        <v>-7</v>
      </c>
    </row>
    <row r="235">
      <c r="A235" s="60">
        <v>0.0</v>
      </c>
      <c r="B235" s="60">
        <v>1.0</v>
      </c>
      <c r="C235" s="60">
        <v>1.0</v>
      </c>
      <c r="D235" s="60">
        <v>1.0</v>
      </c>
      <c r="E235" s="60">
        <v>-1.0</v>
      </c>
      <c r="F235" s="60">
        <f>O234+(A235*L234)+(B235*M234)+(B235*M234)</f>
        <v>-3</v>
      </c>
      <c r="G235" s="60">
        <f>IFS(F235 &gt; G3, 1,F235 &lt;= -G3, -1, TRUE, 0)</f>
        <v>-1</v>
      </c>
      <c r="H235" s="61">
        <v>0.0</v>
      </c>
      <c r="I235" s="61">
        <v>0.0</v>
      </c>
      <c r="J235" s="61">
        <v>0.0</v>
      </c>
      <c r="K235" s="61">
        <v>0.0</v>
      </c>
      <c r="L235" s="60">
        <f t="shared" ref="L235:O235" si="137">L234</f>
        <v>2</v>
      </c>
      <c r="M235" s="60">
        <f t="shared" si="137"/>
        <v>2</v>
      </c>
      <c r="N235" s="60">
        <f t="shared" si="137"/>
        <v>4</v>
      </c>
      <c r="O235" s="60">
        <f t="shared" si="137"/>
        <v>-7</v>
      </c>
    </row>
  </sheetData>
  <mergeCells count="207">
    <mergeCell ref="A178:D179"/>
    <mergeCell ref="A181:K181"/>
    <mergeCell ref="E188:E189"/>
    <mergeCell ref="F188:F189"/>
    <mergeCell ref="G188:G189"/>
    <mergeCell ref="L188:O188"/>
    <mergeCell ref="L189:N189"/>
    <mergeCell ref="A188:D189"/>
    <mergeCell ref="A191:K191"/>
    <mergeCell ref="A198:D199"/>
    <mergeCell ref="E198:E199"/>
    <mergeCell ref="F198:F199"/>
    <mergeCell ref="G198:G199"/>
    <mergeCell ref="L198:O198"/>
    <mergeCell ref="L199:N199"/>
    <mergeCell ref="H148:K148"/>
    <mergeCell ref="H149:J149"/>
    <mergeCell ref="A151:K151"/>
    <mergeCell ref="A158:D159"/>
    <mergeCell ref="E158:E159"/>
    <mergeCell ref="F158:F159"/>
    <mergeCell ref="G158:G159"/>
    <mergeCell ref="H168:K168"/>
    <mergeCell ref="H169:J169"/>
    <mergeCell ref="H159:J159"/>
    <mergeCell ref="A161:K161"/>
    <mergeCell ref="E168:E169"/>
    <mergeCell ref="F168:F169"/>
    <mergeCell ref="G168:G169"/>
    <mergeCell ref="L168:O168"/>
    <mergeCell ref="L169:N169"/>
    <mergeCell ref="H178:K178"/>
    <mergeCell ref="H179:J179"/>
    <mergeCell ref="A168:D169"/>
    <mergeCell ref="A171:K171"/>
    <mergeCell ref="E178:E179"/>
    <mergeCell ref="F178:F179"/>
    <mergeCell ref="G178:G179"/>
    <mergeCell ref="L178:O178"/>
    <mergeCell ref="L179:N179"/>
    <mergeCell ref="H188:K188"/>
    <mergeCell ref="H189:J189"/>
    <mergeCell ref="H208:K208"/>
    <mergeCell ref="L208:O208"/>
    <mergeCell ref="L209:N209"/>
    <mergeCell ref="A28:D29"/>
    <mergeCell ref="A31:K31"/>
    <mergeCell ref="E38:E39"/>
    <mergeCell ref="F38:F39"/>
    <mergeCell ref="G38:G39"/>
    <mergeCell ref="L38:O38"/>
    <mergeCell ref="L39:N39"/>
    <mergeCell ref="A38:D39"/>
    <mergeCell ref="A41:K41"/>
    <mergeCell ref="A48:D49"/>
    <mergeCell ref="E48:E49"/>
    <mergeCell ref="F48:F49"/>
    <mergeCell ref="G48:G49"/>
    <mergeCell ref="L48:O48"/>
    <mergeCell ref="L49:N49"/>
    <mergeCell ref="A8:D9"/>
    <mergeCell ref="E8:E9"/>
    <mergeCell ref="F8:F9"/>
    <mergeCell ref="G8:G9"/>
    <mergeCell ref="H8:K8"/>
    <mergeCell ref="L8:O8"/>
    <mergeCell ref="L9:N9"/>
    <mergeCell ref="H18:K18"/>
    <mergeCell ref="H19:J19"/>
    <mergeCell ref="H9:J9"/>
    <mergeCell ref="A11:K11"/>
    <mergeCell ref="E18:E19"/>
    <mergeCell ref="F18:F19"/>
    <mergeCell ref="G18:G19"/>
    <mergeCell ref="L18:O18"/>
    <mergeCell ref="L19:N19"/>
    <mergeCell ref="H28:K28"/>
    <mergeCell ref="H29:J29"/>
    <mergeCell ref="A18:D19"/>
    <mergeCell ref="A21:K21"/>
    <mergeCell ref="E28:E29"/>
    <mergeCell ref="F28:F29"/>
    <mergeCell ref="G28:G29"/>
    <mergeCell ref="L28:O28"/>
    <mergeCell ref="L29:N29"/>
    <mergeCell ref="H38:K38"/>
    <mergeCell ref="H39:J39"/>
    <mergeCell ref="H58:K58"/>
    <mergeCell ref="L58:O58"/>
    <mergeCell ref="L59:N59"/>
    <mergeCell ref="A78:D79"/>
    <mergeCell ref="A81:K81"/>
    <mergeCell ref="E88:E89"/>
    <mergeCell ref="F88:F89"/>
    <mergeCell ref="G88:G89"/>
    <mergeCell ref="L88:O88"/>
    <mergeCell ref="L89:N89"/>
    <mergeCell ref="A88:D89"/>
    <mergeCell ref="A91:K91"/>
    <mergeCell ref="A98:D99"/>
    <mergeCell ref="E98:E99"/>
    <mergeCell ref="F98:F99"/>
    <mergeCell ref="G98:G99"/>
    <mergeCell ref="L98:O98"/>
    <mergeCell ref="L99:N99"/>
    <mergeCell ref="H48:K48"/>
    <mergeCell ref="H49:J49"/>
    <mergeCell ref="A51:K51"/>
    <mergeCell ref="A58:D59"/>
    <mergeCell ref="E58:E59"/>
    <mergeCell ref="F58:F59"/>
    <mergeCell ref="G58:G59"/>
    <mergeCell ref="H68:K68"/>
    <mergeCell ref="H69:J69"/>
    <mergeCell ref="H59:J59"/>
    <mergeCell ref="A61:K61"/>
    <mergeCell ref="E68:E69"/>
    <mergeCell ref="F68:F69"/>
    <mergeCell ref="G68:G69"/>
    <mergeCell ref="L68:O68"/>
    <mergeCell ref="L69:N69"/>
    <mergeCell ref="H78:K78"/>
    <mergeCell ref="H79:J79"/>
    <mergeCell ref="A68:D69"/>
    <mergeCell ref="A71:K71"/>
    <mergeCell ref="E78:E79"/>
    <mergeCell ref="F78:F79"/>
    <mergeCell ref="G78:G79"/>
    <mergeCell ref="L78:O78"/>
    <mergeCell ref="L79:N79"/>
    <mergeCell ref="H88:K88"/>
    <mergeCell ref="H89:J89"/>
    <mergeCell ref="H108:K108"/>
    <mergeCell ref="L108:O108"/>
    <mergeCell ref="L109:N109"/>
    <mergeCell ref="A128:D129"/>
    <mergeCell ref="A131:K131"/>
    <mergeCell ref="E138:E139"/>
    <mergeCell ref="F138:F139"/>
    <mergeCell ref="G138:G139"/>
    <mergeCell ref="L138:O138"/>
    <mergeCell ref="L139:N139"/>
    <mergeCell ref="A138:D139"/>
    <mergeCell ref="A141:K141"/>
    <mergeCell ref="A148:D149"/>
    <mergeCell ref="E148:E149"/>
    <mergeCell ref="F148:F149"/>
    <mergeCell ref="G148:G149"/>
    <mergeCell ref="L148:O148"/>
    <mergeCell ref="L149:N149"/>
    <mergeCell ref="H98:K98"/>
    <mergeCell ref="H99:J99"/>
    <mergeCell ref="A101:K101"/>
    <mergeCell ref="A108:D109"/>
    <mergeCell ref="E108:E109"/>
    <mergeCell ref="F108:F109"/>
    <mergeCell ref="G108:G109"/>
    <mergeCell ref="H118:K118"/>
    <mergeCell ref="H119:J119"/>
    <mergeCell ref="H109:J109"/>
    <mergeCell ref="A111:K111"/>
    <mergeCell ref="E118:E119"/>
    <mergeCell ref="F118:F119"/>
    <mergeCell ref="G118:G119"/>
    <mergeCell ref="L118:O118"/>
    <mergeCell ref="L119:N119"/>
    <mergeCell ref="H128:K128"/>
    <mergeCell ref="H129:J129"/>
    <mergeCell ref="A118:D119"/>
    <mergeCell ref="A121:K121"/>
    <mergeCell ref="E128:E129"/>
    <mergeCell ref="F128:F129"/>
    <mergeCell ref="G128:G129"/>
    <mergeCell ref="L128:O128"/>
    <mergeCell ref="L129:N129"/>
    <mergeCell ref="H138:K138"/>
    <mergeCell ref="H139:J139"/>
    <mergeCell ref="H158:K158"/>
    <mergeCell ref="L158:O158"/>
    <mergeCell ref="L159:N159"/>
    <mergeCell ref="H198:K198"/>
    <mergeCell ref="H199:J199"/>
    <mergeCell ref="A201:K201"/>
    <mergeCell ref="A208:D209"/>
    <mergeCell ref="E208:E209"/>
    <mergeCell ref="F208:F209"/>
    <mergeCell ref="G208:G209"/>
    <mergeCell ref="H218:K218"/>
    <mergeCell ref="H219:J219"/>
    <mergeCell ref="H209:J209"/>
    <mergeCell ref="A211:K211"/>
    <mergeCell ref="E218:E219"/>
    <mergeCell ref="F218:F219"/>
    <mergeCell ref="G218:G219"/>
    <mergeCell ref="L218:O218"/>
    <mergeCell ref="L219:N219"/>
    <mergeCell ref="H228:K228"/>
    <mergeCell ref="H229:J229"/>
    <mergeCell ref="A228:D229"/>
    <mergeCell ref="A231:K231"/>
    <mergeCell ref="A218:D219"/>
    <mergeCell ref="A221:K221"/>
    <mergeCell ref="E228:E229"/>
    <mergeCell ref="F228:F229"/>
    <mergeCell ref="G228:G229"/>
    <mergeCell ref="L228:O228"/>
    <mergeCell ref="L229:N229"/>
  </mergeCells>
  <drawing r:id="rId1"/>
</worksheet>
</file>